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72" yWindow="-108" windowWidth="23256" windowHeight="12456" tabRatio="600" firstSheet="0" activeTab="0" autoFilterDateGrouping="1"/>
  </bookViews>
  <sheets>
    <sheet name="OFT" sheetId="1" state="visible" r:id="rId1"/>
    <sheet name="Sheet1" sheetId="2" state="visible" r:id="rId2"/>
    <sheet name="US inlan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 h:mm:ss"/>
  </numFmts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2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pivotButton="0" quotePrefix="0" xfId="0"/>
    <xf numFmtId="165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542925</colOff>
      <row>62</row>
      <rowOff>142875</rowOff>
    </from>
    <to>
      <col>25</col>
      <colOff>296687</colOff>
      <row>91</row>
      <rowOff>29330</rowOff>
    </to>
    <pic>
      <nvPicPr>
        <cNvPr id="6" name="Picture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581775" y="11953875"/>
          <a:ext cx="10116962" cy="54109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561975</colOff>
      <row>91</row>
      <rowOff>142875</rowOff>
    </from>
    <to>
      <col>24</col>
      <colOff>496652</colOff>
      <row>122</row>
      <rowOff>67489</rowOff>
    </to>
    <pic>
      <nvPicPr>
        <cNvPr id="7" name="Picture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600825" y="17478375"/>
          <a:ext cx="9688277" cy="58301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342900</colOff>
      <row>2</row>
      <rowOff>9525</rowOff>
    </from>
    <to>
      <col>28</col>
      <colOff>125496</colOff>
      <row>34</row>
      <rowOff>38955</rowOff>
    </to>
    <pic>
      <nvPicPr>
        <cNvPr id="3" name="Picture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7572375" y="390525"/>
          <a:ext cx="11974596" cy="612543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F121"/>
  <sheetViews>
    <sheetView tabSelected="1" topLeftCell="F1" zoomScale="90" zoomScaleNormal="90" workbookViewId="0">
      <selection activeCell="H6" sqref="H6"/>
    </sheetView>
  </sheetViews>
  <sheetFormatPr baseColWidth="8" defaultRowHeight="15"/>
  <cols>
    <col width="27" customWidth="1" min="1" max="1"/>
    <col width="22.140625" customWidth="1" min="2" max="2"/>
    <col width="46.7109375" customWidth="1" style="11" min="3" max="4"/>
    <col width="33.42578125" customWidth="1" style="11" min="5" max="7"/>
    <col width="9.140625" customWidth="1" min="8" max="14"/>
    <col width="9.42578125" customWidth="1" min="15" max="15"/>
    <col width="9.140625" customWidth="1" min="16" max="16"/>
    <col width="12.85546875" customWidth="1" min="17" max="21"/>
    <col width="15.28515625" bestFit="1" customWidth="1" min="22" max="22"/>
    <col width="9.28515625" bestFit="1" customWidth="1" min="23" max="23"/>
    <col width="10.28515625" bestFit="1" customWidth="1" min="24" max="24"/>
    <col width="9.140625" bestFit="1" customWidth="1" min="27" max="29"/>
    <col width="9" bestFit="1" customWidth="1" min="30" max="32"/>
  </cols>
  <sheetData>
    <row r="3">
      <c r="H3" t="inlineStr">
        <is>
          <t>OFT</t>
        </is>
      </c>
      <c r="I3" t="inlineStr">
        <is>
          <t>OFT</t>
        </is>
      </c>
      <c r="J3" t="inlineStr">
        <is>
          <t>OFT</t>
        </is>
      </c>
      <c r="K3" t="inlineStr">
        <is>
          <t>DAR</t>
        </is>
      </c>
      <c r="L3" t="inlineStr">
        <is>
          <t>DAR</t>
        </is>
      </c>
      <c r="M3" t="inlineStr">
        <is>
          <t>DAR</t>
        </is>
      </c>
      <c r="N3" t="inlineStr">
        <is>
          <t>ETS</t>
        </is>
      </c>
      <c r="O3" t="inlineStr">
        <is>
          <t>ETS</t>
        </is>
      </c>
      <c r="P3" t="inlineStr">
        <is>
          <t>ETS</t>
        </is>
      </c>
      <c r="Q3" t="inlineStr">
        <is>
          <t>Wharfage</t>
        </is>
      </c>
      <c r="R3" t="inlineStr">
        <is>
          <t>Wharfage</t>
        </is>
      </c>
      <c r="S3" t="inlineStr">
        <is>
          <t>Wharfage</t>
        </is>
      </c>
      <c r="T3" t="inlineStr">
        <is>
          <t>All-in</t>
        </is>
      </c>
      <c r="U3" t="inlineStr">
        <is>
          <t>All-in</t>
        </is>
      </c>
      <c r="V3" t="inlineStr">
        <is>
          <t>All-in</t>
        </is>
      </c>
      <c r="AA3" s="10" t="inlineStr">
        <is>
          <t>OLD</t>
        </is>
      </c>
      <c r="AB3" s="12" t="n"/>
      <c r="AC3" s="12" t="n"/>
      <c r="AD3" s="11" t="inlineStr">
        <is>
          <t>DIFFERENCE</t>
        </is>
      </c>
    </row>
    <row r="4">
      <c r="A4" t="inlineStr">
        <is>
          <t>CY-CY REF</t>
        </is>
      </c>
      <c r="B4" t="inlineStr">
        <is>
          <t>DAR REF</t>
        </is>
      </c>
      <c r="C4" s="4" t="inlineStr">
        <is>
          <t>Origin Country</t>
        </is>
      </c>
      <c r="D4" s="4" t="inlineStr">
        <is>
          <t>POR</t>
        </is>
      </c>
      <c r="E4" s="4" t="inlineStr">
        <is>
          <t>POL</t>
        </is>
      </c>
      <c r="F4" s="4" t="inlineStr">
        <is>
          <t>POD</t>
        </is>
      </c>
      <c r="G4" s="4" t="inlineStr">
        <is>
          <t>Destination</t>
        </is>
      </c>
      <c r="H4" s="1" t="inlineStr">
        <is>
          <t>20'</t>
        </is>
      </c>
      <c r="I4" s="1" t="inlineStr">
        <is>
          <t>40'</t>
        </is>
      </c>
      <c r="J4" s="1" t="inlineStr">
        <is>
          <t>40HC</t>
        </is>
      </c>
      <c r="K4" s="1" t="inlineStr">
        <is>
          <t>20'</t>
        </is>
      </c>
      <c r="L4" s="1" t="inlineStr">
        <is>
          <t>40'</t>
        </is>
      </c>
      <c r="M4" s="1" t="inlineStr">
        <is>
          <t>40HC</t>
        </is>
      </c>
      <c r="N4" s="1" t="inlineStr">
        <is>
          <t>20'</t>
        </is>
      </c>
      <c r="O4" s="1" t="inlineStr">
        <is>
          <t>40'</t>
        </is>
      </c>
      <c r="P4" s="1" t="inlineStr">
        <is>
          <t>40HC</t>
        </is>
      </c>
      <c r="Q4" s="1" t="inlineStr">
        <is>
          <t>20'</t>
        </is>
      </c>
      <c r="R4" s="1" t="inlineStr">
        <is>
          <t>40'</t>
        </is>
      </c>
      <c r="S4" s="1" t="inlineStr">
        <is>
          <t>40HC</t>
        </is>
      </c>
      <c r="T4" s="1" t="inlineStr">
        <is>
          <t>20'</t>
        </is>
      </c>
      <c r="U4" s="1" t="inlineStr">
        <is>
          <t>40'</t>
        </is>
      </c>
      <c r="V4" s="1" t="inlineStr">
        <is>
          <t>40HC</t>
        </is>
      </c>
      <c r="W4" s="1" t="inlineStr">
        <is>
          <t>Valid from</t>
        </is>
      </c>
      <c r="X4" s="1" t="inlineStr">
        <is>
          <t>Valid to</t>
        </is>
      </c>
      <c r="Y4" s="1" t="inlineStr">
        <is>
          <t>Remark</t>
        </is>
      </c>
      <c r="AA4" s="1" t="inlineStr">
        <is>
          <t>20'</t>
        </is>
      </c>
      <c r="AB4" s="1" t="inlineStr">
        <is>
          <t>40'</t>
        </is>
      </c>
      <c r="AC4" s="1" t="inlineStr">
        <is>
          <t>40HC</t>
        </is>
      </c>
      <c r="AD4" s="1" t="inlineStr">
        <is>
          <t>20'</t>
        </is>
      </c>
      <c r="AE4" s="1" t="inlineStr">
        <is>
          <t>40'</t>
        </is>
      </c>
      <c r="AF4" s="1" t="inlineStr">
        <is>
          <t>40HC</t>
        </is>
      </c>
    </row>
    <row r="5">
      <c r="A5">
        <f>E5&amp;F5</f>
        <v/>
      </c>
      <c r="C5" s="4">
        <f>VLOOKUP(D5,Sheet1!$A$1:$B$4,2,FALSE)</f>
        <v/>
      </c>
      <c r="D5" s="4" t="inlineStr">
        <is>
          <t>BREMERHAVEN</t>
        </is>
      </c>
      <c r="E5" s="4" t="inlineStr">
        <is>
          <t>BREMERHAVEN</t>
        </is>
      </c>
      <c r="F5" s="4" t="inlineStr">
        <is>
          <t>NEW YORK, NY</t>
        </is>
      </c>
      <c r="G5" s="4" t="inlineStr">
        <is>
          <t>NEW YORK, NY</t>
        </is>
      </c>
      <c r="H5" s="7" t="n">
        <v>1750</v>
      </c>
      <c r="I5" s="7" t="n">
        <v>1850</v>
      </c>
      <c r="J5" s="7" t="n">
        <v>1850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9">
        <f>SUM(H5,K5,N5,Q5)</f>
        <v/>
      </c>
      <c r="U5" s="9">
        <f>SUM(I5,L5,O5,R5)</f>
        <v/>
      </c>
      <c r="V5" s="9">
        <f>SUM(J5,M5,P5,S5)</f>
        <v/>
      </c>
      <c r="W5" s="3" t="n">
        <v>46082</v>
      </c>
      <c r="X5" s="3" t="n">
        <v>46112</v>
      </c>
      <c r="Y5" s="1" t="n"/>
      <c r="AA5" s="13" t="n">
        <v>46082</v>
      </c>
      <c r="AB5" s="13" t="n">
        <v>46112</v>
      </c>
      <c r="AC5" s="9" t="n"/>
      <c r="AD5" s="9">
        <f>T5-AA5</f>
        <v/>
      </c>
      <c r="AE5" s="9">
        <f>U5-AB5</f>
        <v/>
      </c>
      <c r="AF5" s="9">
        <f>V5-AC5</f>
        <v/>
      </c>
    </row>
    <row r="6">
      <c r="A6">
        <f>E6&amp;F6</f>
        <v/>
      </c>
      <c r="C6" s="4">
        <f>VLOOKUP(D6,Sheet1!$A$1:$B$4,2,FALSE)</f>
        <v/>
      </c>
      <c r="D6" s="4" t="inlineStr">
        <is>
          <t>BREMERHAVEN</t>
        </is>
      </c>
      <c r="E6" s="4" t="inlineStr">
        <is>
          <t>BREMERHAVEN</t>
        </is>
      </c>
      <c r="F6" s="4" t="inlineStr">
        <is>
          <t>BALTIMORE, MD</t>
        </is>
      </c>
      <c r="G6" s="4" t="inlineStr">
        <is>
          <t>BALTIMORE, MD</t>
        </is>
      </c>
      <c r="H6" s="7" t="n">
        <v>1750</v>
      </c>
      <c r="I6" s="7" t="n">
        <v>1850</v>
      </c>
      <c r="J6" s="7" t="n">
        <v>1850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9">
        <f>SUM(H6,K6,N6,Q6)</f>
        <v/>
      </c>
      <c r="U6" s="9">
        <f>SUM(I6,L6,O6,R6)</f>
        <v/>
      </c>
      <c r="V6" s="9">
        <f>SUM(J6,M6,P6,S6)</f>
        <v/>
      </c>
      <c r="W6" s="3" t="n">
        <v>46082</v>
      </c>
      <c r="X6" s="3" t="n">
        <v>46112</v>
      </c>
      <c r="Y6" s="1" t="n"/>
      <c r="AA6" s="13" t="n">
        <v>46082</v>
      </c>
      <c r="AB6" s="13" t="n">
        <v>46112</v>
      </c>
      <c r="AC6" s="9" t="n"/>
      <c r="AD6" s="9">
        <f>T6-AA6</f>
        <v/>
      </c>
      <c r="AE6" s="9">
        <f>U6-AB6</f>
        <v/>
      </c>
      <c r="AF6" s="9">
        <f>V6-AC6</f>
        <v/>
      </c>
    </row>
    <row r="7">
      <c r="A7">
        <f>E7&amp;F7</f>
        <v/>
      </c>
      <c r="C7" s="4">
        <f>VLOOKUP(D7,Sheet1!$A$1:$B$4,2,FALSE)</f>
        <v/>
      </c>
      <c r="D7" s="4" t="inlineStr">
        <is>
          <t>BREMERHAVEN</t>
        </is>
      </c>
      <c r="E7" s="4" t="inlineStr">
        <is>
          <t>BREMERHAVEN</t>
        </is>
      </c>
      <c r="F7" s="4" t="inlineStr">
        <is>
          <t>NORFOLK, VA</t>
        </is>
      </c>
      <c r="G7" s="4" t="inlineStr">
        <is>
          <t>NORFOLK, VA</t>
        </is>
      </c>
      <c r="H7" s="7" t="n">
        <v>1750</v>
      </c>
      <c r="I7" s="7" t="n">
        <v>1850</v>
      </c>
      <c r="J7" s="7" t="n">
        <v>1850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9">
        <f>SUM(H7,K7,N7,Q7)</f>
        <v/>
      </c>
      <c r="U7" s="9">
        <f>SUM(I7,L7,O7,R7)</f>
        <v/>
      </c>
      <c r="V7" s="9">
        <f>SUM(J7,M7,P7,S7)</f>
        <v/>
      </c>
      <c r="W7" s="3" t="n">
        <v>46082</v>
      </c>
      <c r="X7" s="3" t="n">
        <v>46112</v>
      </c>
      <c r="Y7" s="1" t="n"/>
      <c r="AA7" s="13" t="n">
        <v>46082</v>
      </c>
      <c r="AB7" s="13" t="n">
        <v>46112</v>
      </c>
      <c r="AC7" s="9" t="n"/>
      <c r="AD7" s="9">
        <f>T7-AA7</f>
        <v/>
      </c>
      <c r="AE7" s="9">
        <f>U7-AB7</f>
        <v/>
      </c>
      <c r="AF7" s="9">
        <f>V7-AC7</f>
        <v/>
      </c>
    </row>
    <row r="8">
      <c r="A8">
        <f>E8&amp;F8</f>
        <v/>
      </c>
      <c r="C8" s="4">
        <f>VLOOKUP(D8,Sheet1!$A$1:$B$4,2,FALSE)</f>
        <v/>
      </c>
      <c r="D8" s="4" t="inlineStr">
        <is>
          <t>BREMERHAVEN</t>
        </is>
      </c>
      <c r="E8" s="4" t="inlineStr">
        <is>
          <t>BREMERHAVEN</t>
        </is>
      </c>
      <c r="F8" s="4" t="inlineStr">
        <is>
          <t>HOUSTON, TX</t>
        </is>
      </c>
      <c r="G8" s="4" t="inlineStr">
        <is>
          <t>HOUSTON, TX</t>
        </is>
      </c>
      <c r="H8" s="7" t="n">
        <v>1750</v>
      </c>
      <c r="I8" s="7" t="n">
        <v>1850</v>
      </c>
      <c r="J8" s="7" t="n">
        <v>1850</v>
      </c>
      <c r="K8" s="1" t="n"/>
      <c r="L8" s="1" t="n"/>
      <c r="M8" s="1" t="n"/>
      <c r="N8" s="1" t="n"/>
      <c r="O8" s="1" t="n"/>
      <c r="P8" s="1" t="n"/>
      <c r="Q8" s="1" t="n">
        <v>80.48999999999999</v>
      </c>
      <c r="R8" s="1" t="n">
        <v>80.48999999999999</v>
      </c>
      <c r="S8" s="1" t="n">
        <v>80.48999999999999</v>
      </c>
      <c r="T8" s="9">
        <f>SUM(H8,K8,N8,Q8)</f>
        <v/>
      </c>
      <c r="U8" s="9">
        <f>SUM(I8,L8,O8,R8)</f>
        <v/>
      </c>
      <c r="V8" s="9">
        <f>SUM(J8,M8,P8,S8)</f>
        <v/>
      </c>
      <c r="W8" s="3" t="n">
        <v>46082</v>
      </c>
      <c r="X8" s="3" t="n">
        <v>46112</v>
      </c>
      <c r="Y8" s="1" t="n"/>
      <c r="AA8" s="13" t="n">
        <v>46082</v>
      </c>
      <c r="AB8" s="13" t="n">
        <v>46112</v>
      </c>
      <c r="AC8" s="9" t="n"/>
      <c r="AD8" s="9">
        <f>T8-AA8</f>
        <v/>
      </c>
      <c r="AE8" s="9">
        <f>U8-AB8</f>
        <v/>
      </c>
      <c r="AF8" s="9">
        <f>V8-AC8</f>
        <v/>
      </c>
    </row>
    <row r="9">
      <c r="A9">
        <f>E9&amp;F9</f>
        <v/>
      </c>
      <c r="C9" s="4">
        <f>VLOOKUP(D9,Sheet1!$A$1:$B$4,2,FALSE)</f>
        <v/>
      </c>
      <c r="D9" s="4" t="inlineStr">
        <is>
          <t>BREMERHAVEN</t>
        </is>
      </c>
      <c r="E9" s="4" t="inlineStr">
        <is>
          <t>BREMERHAVEN</t>
        </is>
      </c>
      <c r="F9" s="4" t="inlineStr">
        <is>
          <t>NEW ORLEANS, LA</t>
        </is>
      </c>
      <c r="G9" s="4" t="inlineStr">
        <is>
          <t>NEW ORLEANS, LA</t>
        </is>
      </c>
      <c r="H9" s="7" t="n">
        <v>1750</v>
      </c>
      <c r="I9" s="7" t="n">
        <v>1850</v>
      </c>
      <c r="J9" s="7" t="n">
        <v>1850</v>
      </c>
      <c r="K9" s="1" t="n"/>
      <c r="L9" s="1" t="n"/>
      <c r="M9" s="1" t="n"/>
      <c r="N9" s="1" t="n"/>
      <c r="O9" s="1" t="n"/>
      <c r="P9" s="1" t="n"/>
      <c r="Q9" s="1" t="n">
        <v>68</v>
      </c>
      <c r="R9" s="1" t="n">
        <v>68</v>
      </c>
      <c r="S9" s="1" t="n">
        <v>68</v>
      </c>
      <c r="T9" s="9">
        <f>SUM(H9,K9,N9,Q9)</f>
        <v/>
      </c>
      <c r="U9" s="9">
        <f>SUM(I9,L9,O9,R9)</f>
        <v/>
      </c>
      <c r="V9" s="9">
        <f>SUM(J9,M9,P9,S9)</f>
        <v/>
      </c>
      <c r="W9" s="3" t="n">
        <v>46082</v>
      </c>
      <c r="X9" s="3" t="n">
        <v>46112</v>
      </c>
      <c r="Y9" s="1" t="n"/>
      <c r="AA9" s="13" t="n">
        <v>46082</v>
      </c>
      <c r="AB9" s="13" t="n">
        <v>46112</v>
      </c>
      <c r="AC9" s="9" t="n"/>
      <c r="AD9" s="9">
        <f>T9-AA9</f>
        <v/>
      </c>
      <c r="AE9" s="9">
        <f>U9-AB9</f>
        <v/>
      </c>
      <c r="AF9" s="9">
        <f>V9-AC9</f>
        <v/>
      </c>
    </row>
    <row r="10">
      <c r="A10">
        <f>E10&amp;F10</f>
        <v/>
      </c>
      <c r="C10" s="4">
        <f>VLOOKUP(D10,Sheet1!$A$1:$B$4,2,FALSE)</f>
        <v/>
      </c>
      <c r="D10" s="4" t="inlineStr">
        <is>
          <t>BREMERHAVEN</t>
        </is>
      </c>
      <c r="E10" s="4" t="inlineStr">
        <is>
          <t>BREMERHAVEN</t>
        </is>
      </c>
      <c r="F10" s="4" t="inlineStr">
        <is>
          <t>SAVANNAH, GA</t>
        </is>
      </c>
      <c r="G10" s="4" t="inlineStr">
        <is>
          <t>SAVANNAH, GA</t>
        </is>
      </c>
      <c r="H10" s="7" t="n">
        <v>1350</v>
      </c>
      <c r="I10" s="7" t="n">
        <v>1550</v>
      </c>
      <c r="J10" s="7" t="n">
        <v>1550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9">
        <f>SUM(H10,K10,N10,Q10)</f>
        <v/>
      </c>
      <c r="U10" s="9">
        <f>SUM(I10,L10,O10,R10)</f>
        <v/>
      </c>
      <c r="V10" s="9">
        <f>SUM(J10,M10,P10,S10)</f>
        <v/>
      </c>
      <c r="W10" s="3" t="n">
        <v>46082</v>
      </c>
      <c r="X10" s="3" t="n">
        <v>46112</v>
      </c>
      <c r="Y10" s="1" t="n"/>
      <c r="AA10" s="13" t="n">
        <v>46082</v>
      </c>
      <c r="AB10" s="13" t="n">
        <v>46112</v>
      </c>
      <c r="AC10" s="9" t="n"/>
      <c r="AD10" s="9">
        <f>T10-AA10</f>
        <v/>
      </c>
      <c r="AE10" s="9">
        <f>U10-AB10</f>
        <v/>
      </c>
      <c r="AF10" s="9">
        <f>V10-AC10</f>
        <v/>
      </c>
    </row>
    <row r="11">
      <c r="A11">
        <f>E11&amp;F11</f>
        <v/>
      </c>
      <c r="C11" s="4">
        <f>VLOOKUP(D11,Sheet1!$A$1:$B$4,2,FALSE)</f>
        <v/>
      </c>
      <c r="D11" s="4" t="inlineStr">
        <is>
          <t>BREMERHAVEN</t>
        </is>
      </c>
      <c r="E11" s="4" t="inlineStr">
        <is>
          <t>BREMERHAVEN</t>
        </is>
      </c>
      <c r="F11" s="4" t="inlineStr">
        <is>
          <t>CHARLESTON, SC</t>
        </is>
      </c>
      <c r="G11" s="4" t="inlineStr">
        <is>
          <t>CHARLESTON, SC</t>
        </is>
      </c>
      <c r="H11" s="7" t="n">
        <v>1350</v>
      </c>
      <c r="I11" s="7" t="n">
        <v>1550</v>
      </c>
      <c r="J11" s="7" t="n">
        <v>1550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9">
        <f>SUM(H11,K11,N11,Q11)</f>
        <v/>
      </c>
      <c r="U11" s="9">
        <f>SUM(I11,L11,O11,R11)</f>
        <v/>
      </c>
      <c r="V11" s="9">
        <f>SUM(J11,M11,P11,S11)</f>
        <v/>
      </c>
      <c r="W11" s="3" t="n">
        <v>46082</v>
      </c>
      <c r="X11" s="3" t="n">
        <v>46112</v>
      </c>
      <c r="Y11" s="1" t="n"/>
      <c r="AA11" s="13" t="n">
        <v>46082</v>
      </c>
      <c r="AB11" s="13" t="n">
        <v>46112</v>
      </c>
      <c r="AC11" s="9" t="n"/>
      <c r="AD11" s="9">
        <f>T11-AA11</f>
        <v/>
      </c>
      <c r="AE11" s="9">
        <f>U11-AB11</f>
        <v/>
      </c>
      <c r="AF11" s="9">
        <f>V11-AC11</f>
        <v/>
      </c>
    </row>
    <row r="12">
      <c r="A12">
        <f>E12&amp;F12</f>
        <v/>
      </c>
      <c r="C12" s="4">
        <f>VLOOKUP(D12,Sheet1!$A$1:$B$4,2,FALSE)</f>
        <v/>
      </c>
      <c r="D12" s="4" t="inlineStr">
        <is>
          <t>ROTTERDAM</t>
        </is>
      </c>
      <c r="E12" s="4" t="inlineStr">
        <is>
          <t>ROTTERDAM</t>
        </is>
      </c>
      <c r="F12" s="4" t="inlineStr">
        <is>
          <t>NEW YORK, NY</t>
        </is>
      </c>
      <c r="G12" s="4" t="inlineStr">
        <is>
          <t>NEW YORK, NY</t>
        </is>
      </c>
      <c r="H12" s="1">
        <f>H5</f>
        <v/>
      </c>
      <c r="I12" s="1">
        <f>I5</f>
        <v/>
      </c>
      <c r="J12" s="1">
        <f>J5</f>
        <v/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9">
        <f>SUM(H12,K12,N12,Q12)</f>
        <v/>
      </c>
      <c r="U12" s="9">
        <f>SUM(I12,L12,O12,R12)</f>
        <v/>
      </c>
      <c r="V12" s="9">
        <f>SUM(J12,M12,P12,S12)</f>
        <v/>
      </c>
      <c r="W12" s="3" t="n">
        <v>46082</v>
      </c>
      <c r="X12" s="3" t="n">
        <v>46112</v>
      </c>
      <c r="Y12" s="1" t="n"/>
      <c r="AA12" s="13" t="n">
        <v>46082</v>
      </c>
      <c r="AB12" s="13" t="n">
        <v>46112</v>
      </c>
      <c r="AC12" s="9" t="n"/>
      <c r="AD12" s="9">
        <f>T12-AA12</f>
        <v/>
      </c>
      <c r="AE12" s="9">
        <f>U12-AB12</f>
        <v/>
      </c>
      <c r="AF12" s="9">
        <f>V12-AC12</f>
        <v/>
      </c>
    </row>
    <row r="13">
      <c r="A13">
        <f>E13&amp;F13</f>
        <v/>
      </c>
      <c r="C13" s="4">
        <f>VLOOKUP(D13,Sheet1!$A$1:$B$4,2,FALSE)</f>
        <v/>
      </c>
      <c r="D13" s="4" t="inlineStr">
        <is>
          <t>ROTTERDAM</t>
        </is>
      </c>
      <c r="E13" s="4" t="inlineStr">
        <is>
          <t>ROTTERDAM</t>
        </is>
      </c>
      <c r="F13" s="4" t="inlineStr">
        <is>
          <t>BALTIMORE, MD</t>
        </is>
      </c>
      <c r="G13" s="4" t="inlineStr">
        <is>
          <t>BALTIMORE, MD</t>
        </is>
      </c>
      <c r="H13" s="1">
        <f>H6</f>
        <v/>
      </c>
      <c r="I13" s="1">
        <f>I6</f>
        <v/>
      </c>
      <c r="J13" s="1">
        <f>J6</f>
        <v/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9">
        <f>SUM(H13,K13,N13,Q13)</f>
        <v/>
      </c>
      <c r="U13" s="9">
        <f>SUM(I13,L13,O13,R13)</f>
        <v/>
      </c>
      <c r="V13" s="9">
        <f>SUM(J13,M13,P13,S13)</f>
        <v/>
      </c>
      <c r="W13" s="3" t="n">
        <v>46082</v>
      </c>
      <c r="X13" s="3" t="n">
        <v>46112</v>
      </c>
      <c r="Y13" s="1" t="n"/>
      <c r="AA13" s="13" t="n">
        <v>46082</v>
      </c>
      <c r="AB13" s="13" t="n">
        <v>46112</v>
      </c>
      <c r="AC13" s="9" t="n"/>
      <c r="AD13" s="9">
        <f>T13-AA13</f>
        <v/>
      </c>
      <c r="AE13" s="9">
        <f>U13-AB13</f>
        <v/>
      </c>
      <c r="AF13" s="9">
        <f>V13-AC13</f>
        <v/>
      </c>
    </row>
    <row r="14">
      <c r="A14">
        <f>E14&amp;F14</f>
        <v/>
      </c>
      <c r="C14" s="4">
        <f>VLOOKUP(D14,Sheet1!$A$1:$B$4,2,FALSE)</f>
        <v/>
      </c>
      <c r="D14" s="4" t="inlineStr">
        <is>
          <t>ROTTERDAM</t>
        </is>
      </c>
      <c r="E14" s="4" t="inlineStr">
        <is>
          <t>ROTTERDAM</t>
        </is>
      </c>
      <c r="F14" s="4" t="inlineStr">
        <is>
          <t>NORFOLK, VA</t>
        </is>
      </c>
      <c r="G14" s="4" t="inlineStr">
        <is>
          <t>NORFOLK, VA</t>
        </is>
      </c>
      <c r="H14" s="1">
        <f>H7</f>
        <v/>
      </c>
      <c r="I14" s="1">
        <f>I7</f>
        <v/>
      </c>
      <c r="J14" s="1">
        <f>J7</f>
        <v/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9">
        <f>SUM(H14,K14,N14,Q14)</f>
        <v/>
      </c>
      <c r="U14" s="9">
        <f>SUM(I14,L14,O14,R14)</f>
        <v/>
      </c>
      <c r="V14" s="9">
        <f>SUM(J14,M14,P14,S14)</f>
        <v/>
      </c>
      <c r="W14" s="3" t="n">
        <v>46082</v>
      </c>
      <c r="X14" s="3" t="n">
        <v>46112</v>
      </c>
      <c r="Y14" s="1" t="n"/>
      <c r="AA14" s="13" t="n">
        <v>46082</v>
      </c>
      <c r="AB14" s="13" t="n">
        <v>46112</v>
      </c>
      <c r="AC14" s="9" t="n"/>
      <c r="AD14" s="9">
        <f>T14-AA14</f>
        <v/>
      </c>
      <c r="AE14" s="9">
        <f>U14-AB14</f>
        <v/>
      </c>
      <c r="AF14" s="9">
        <f>V14-AC14</f>
        <v/>
      </c>
    </row>
    <row r="15">
      <c r="A15">
        <f>E15&amp;F15</f>
        <v/>
      </c>
      <c r="C15" s="4">
        <f>VLOOKUP(D15,Sheet1!$A$1:$B$4,2,FALSE)</f>
        <v/>
      </c>
      <c r="D15" s="4" t="inlineStr">
        <is>
          <t>ROTTERDAM</t>
        </is>
      </c>
      <c r="E15" s="4" t="inlineStr">
        <is>
          <t>ROTTERDAM</t>
        </is>
      </c>
      <c r="F15" s="4" t="inlineStr">
        <is>
          <t>HOUSTON, TX</t>
        </is>
      </c>
      <c r="G15" s="4" t="inlineStr">
        <is>
          <t>HOUSTON, TX</t>
        </is>
      </c>
      <c r="H15" s="1">
        <f>H8</f>
        <v/>
      </c>
      <c r="I15" s="1">
        <f>I8</f>
        <v/>
      </c>
      <c r="J15" s="1">
        <f>J8</f>
        <v/>
      </c>
      <c r="K15" s="1" t="n"/>
      <c r="L15" s="1" t="n"/>
      <c r="M15" s="1" t="n"/>
      <c r="N15" s="1" t="n"/>
      <c r="O15" s="1" t="n"/>
      <c r="P15" s="1" t="n"/>
      <c r="Q15" s="1" t="n">
        <v>80.48999999999999</v>
      </c>
      <c r="R15" s="1" t="n">
        <v>80.48999999999999</v>
      </c>
      <c r="S15" s="1" t="n">
        <v>80.48999999999999</v>
      </c>
      <c r="T15" s="9">
        <f>SUM(H15,K15,N15,Q15)</f>
        <v/>
      </c>
      <c r="U15" s="9">
        <f>SUM(I15,L15,O15,R15)</f>
        <v/>
      </c>
      <c r="V15" s="9">
        <f>SUM(J15,M15,P15,S15)</f>
        <v/>
      </c>
      <c r="W15" s="3" t="n">
        <v>46082</v>
      </c>
      <c r="X15" s="3" t="n">
        <v>46112</v>
      </c>
      <c r="Y15" s="1" t="n"/>
      <c r="AA15" s="13" t="n">
        <v>46082</v>
      </c>
      <c r="AB15" s="13" t="n">
        <v>46112</v>
      </c>
      <c r="AC15" s="9" t="n"/>
      <c r="AD15" s="9">
        <f>T15-AA15</f>
        <v/>
      </c>
      <c r="AE15" s="9">
        <f>U15-AB15</f>
        <v/>
      </c>
      <c r="AF15" s="9">
        <f>V15-AC15</f>
        <v/>
      </c>
    </row>
    <row r="16">
      <c r="A16">
        <f>E16&amp;F16</f>
        <v/>
      </c>
      <c r="C16" s="4">
        <f>VLOOKUP(D16,Sheet1!$A$1:$B$4,2,FALSE)</f>
        <v/>
      </c>
      <c r="D16" s="4" t="inlineStr">
        <is>
          <t>ROTTERDAM</t>
        </is>
      </c>
      <c r="E16" s="4" t="inlineStr">
        <is>
          <t>ROTTERDAM</t>
        </is>
      </c>
      <c r="F16" s="4" t="inlineStr">
        <is>
          <t>NEW ORLEANS, LA</t>
        </is>
      </c>
      <c r="G16" s="4" t="inlineStr">
        <is>
          <t>NEW ORLEANS, LA</t>
        </is>
      </c>
      <c r="H16" s="1">
        <f>H9</f>
        <v/>
      </c>
      <c r="I16" s="1">
        <f>I9</f>
        <v/>
      </c>
      <c r="J16" s="1">
        <f>J9</f>
        <v/>
      </c>
      <c r="K16" s="1" t="n"/>
      <c r="L16" s="1" t="n"/>
      <c r="M16" s="1" t="n"/>
      <c r="N16" s="1" t="n"/>
      <c r="O16" s="1" t="n"/>
      <c r="P16" s="1" t="n"/>
      <c r="Q16" s="1" t="n">
        <v>68</v>
      </c>
      <c r="R16" s="1" t="n">
        <v>68</v>
      </c>
      <c r="S16" s="1" t="n">
        <v>68</v>
      </c>
      <c r="T16" s="9">
        <f>SUM(H16,K16,N16,Q16)</f>
        <v/>
      </c>
      <c r="U16" s="9">
        <f>SUM(I16,L16,O16,R16)</f>
        <v/>
      </c>
      <c r="V16" s="9">
        <f>SUM(J16,M16,P16,S16)</f>
        <v/>
      </c>
      <c r="W16" s="3" t="n">
        <v>46082</v>
      </c>
      <c r="X16" s="3" t="n">
        <v>46112</v>
      </c>
      <c r="Y16" s="1" t="n"/>
      <c r="AA16" s="13" t="n">
        <v>46082</v>
      </c>
      <c r="AB16" s="13" t="n">
        <v>46112</v>
      </c>
      <c r="AC16" s="9" t="n"/>
      <c r="AD16" s="9">
        <f>T16-AA16</f>
        <v/>
      </c>
      <c r="AE16" s="9">
        <f>U16-AB16</f>
        <v/>
      </c>
      <c r="AF16" s="9">
        <f>V16-AC16</f>
        <v/>
      </c>
    </row>
    <row r="17">
      <c r="A17">
        <f>E17&amp;F17</f>
        <v/>
      </c>
      <c r="C17" s="4">
        <f>VLOOKUP(D17,Sheet1!$A$1:$B$4,2,FALSE)</f>
        <v/>
      </c>
      <c r="D17" s="4" t="inlineStr">
        <is>
          <t>ROTTERDAM</t>
        </is>
      </c>
      <c r="E17" s="4" t="inlineStr">
        <is>
          <t>ROTTERDAM</t>
        </is>
      </c>
      <c r="F17" s="4" t="inlineStr">
        <is>
          <t>SAVANNAH, GA</t>
        </is>
      </c>
      <c r="G17" s="4" t="inlineStr">
        <is>
          <t>SAVANNAH, GA</t>
        </is>
      </c>
      <c r="H17" s="1">
        <f>H10</f>
        <v/>
      </c>
      <c r="I17" s="1">
        <f>I10</f>
        <v/>
      </c>
      <c r="J17" s="1">
        <f>J10</f>
        <v/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9">
        <f>SUM(H17,K17,N17,Q17)</f>
        <v/>
      </c>
      <c r="U17" s="9">
        <f>SUM(I17,L17,O17,R17)</f>
        <v/>
      </c>
      <c r="V17" s="9">
        <f>SUM(J17,M17,P17,S17)</f>
        <v/>
      </c>
      <c r="W17" s="3" t="n">
        <v>46082</v>
      </c>
      <c r="X17" s="3" t="n">
        <v>46112</v>
      </c>
      <c r="Y17" s="1" t="n"/>
      <c r="AA17" s="13" t="n">
        <v>46082</v>
      </c>
      <c r="AB17" s="13" t="n">
        <v>46112</v>
      </c>
      <c r="AC17" s="9" t="n"/>
      <c r="AD17" s="9">
        <f>T17-AA17</f>
        <v/>
      </c>
      <c r="AE17" s="9">
        <f>U17-AB17</f>
        <v/>
      </c>
      <c r="AF17" s="9">
        <f>V17-AC17</f>
        <v/>
      </c>
    </row>
    <row r="18">
      <c r="A18">
        <f>E18&amp;F18</f>
        <v/>
      </c>
      <c r="C18" s="4">
        <f>VLOOKUP(D18,Sheet1!$A$1:$B$4,2,FALSE)</f>
        <v/>
      </c>
      <c r="D18" s="4" t="inlineStr">
        <is>
          <t>ROTTERDAM</t>
        </is>
      </c>
      <c r="E18" s="4" t="inlineStr">
        <is>
          <t>ROTTERDAM</t>
        </is>
      </c>
      <c r="F18" s="4" t="inlineStr">
        <is>
          <t>CHARLESTON, SC</t>
        </is>
      </c>
      <c r="G18" s="4" t="inlineStr">
        <is>
          <t>CHARLESTON, SC</t>
        </is>
      </c>
      <c r="H18" s="1">
        <f>H11</f>
        <v/>
      </c>
      <c r="I18" s="1">
        <f>I11</f>
        <v/>
      </c>
      <c r="J18" s="1">
        <f>J11</f>
        <v/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9">
        <f>SUM(H18,K18,N18,Q18)</f>
        <v/>
      </c>
      <c r="U18" s="9">
        <f>SUM(I18,L18,O18,R18)</f>
        <v/>
      </c>
      <c r="V18" s="9">
        <f>SUM(J18,M18,P18,S18)</f>
        <v/>
      </c>
      <c r="W18" s="3" t="n">
        <v>46082</v>
      </c>
      <c r="X18" s="3" t="n">
        <v>46112</v>
      </c>
      <c r="Y18" s="1" t="n"/>
      <c r="AA18" s="13" t="n">
        <v>46082</v>
      </c>
      <c r="AB18" s="13" t="n">
        <v>46112</v>
      </c>
      <c r="AC18" s="9" t="n"/>
      <c r="AD18" s="9">
        <f>T18-AA18</f>
        <v/>
      </c>
      <c r="AE18" s="9">
        <f>U18-AB18</f>
        <v/>
      </c>
      <c r="AF18" s="9">
        <f>V18-AC18</f>
        <v/>
      </c>
    </row>
    <row r="19">
      <c r="A19">
        <f>E19&amp;F19</f>
        <v/>
      </c>
      <c r="C19" s="4">
        <f>VLOOKUP(D19,Sheet1!$A$1:$B$4,2,FALSE)</f>
        <v/>
      </c>
      <c r="D19" s="4" t="inlineStr">
        <is>
          <t>ANTWERP</t>
        </is>
      </c>
      <c r="E19" s="4" t="inlineStr">
        <is>
          <t>ANTWERP</t>
        </is>
      </c>
      <c r="F19" s="4" t="inlineStr">
        <is>
          <t>NEW YORK, NY</t>
        </is>
      </c>
      <c r="G19" s="4" t="inlineStr">
        <is>
          <t>NEW YORK, NY</t>
        </is>
      </c>
      <c r="H19" s="1">
        <f>H5</f>
        <v/>
      </c>
      <c r="I19" s="1">
        <f>I5</f>
        <v/>
      </c>
      <c r="J19" s="1">
        <f>J5</f>
        <v/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9">
        <f>SUM(H19,K19,N19,Q19)</f>
        <v/>
      </c>
      <c r="U19" s="9">
        <f>SUM(I19,L19,O19,R19)</f>
        <v/>
      </c>
      <c r="V19" s="9">
        <f>SUM(J19,M19,P19,S19)</f>
        <v/>
      </c>
      <c r="W19" s="3" t="n">
        <v>46082</v>
      </c>
      <c r="X19" s="3" t="n">
        <v>46112</v>
      </c>
      <c r="Y19" s="1" t="n"/>
      <c r="AA19" s="13" t="n">
        <v>46082</v>
      </c>
      <c r="AB19" s="13" t="n">
        <v>46112</v>
      </c>
      <c r="AC19" s="9" t="n"/>
      <c r="AD19" s="9">
        <f>T19-AA19</f>
        <v/>
      </c>
      <c r="AE19" s="9">
        <f>U19-AB19</f>
        <v/>
      </c>
      <c r="AF19" s="9">
        <f>V19-AC19</f>
        <v/>
      </c>
    </row>
    <row r="20">
      <c r="A20">
        <f>E20&amp;F20</f>
        <v/>
      </c>
      <c r="C20" s="4">
        <f>VLOOKUP(D20,Sheet1!$A$1:$B$4,2,FALSE)</f>
        <v/>
      </c>
      <c r="D20" s="4" t="inlineStr">
        <is>
          <t>ANTWERP</t>
        </is>
      </c>
      <c r="E20" s="4" t="inlineStr">
        <is>
          <t>ANTWERP</t>
        </is>
      </c>
      <c r="F20" s="4" t="inlineStr">
        <is>
          <t>BALTIMORE, MD</t>
        </is>
      </c>
      <c r="G20" s="4" t="inlineStr">
        <is>
          <t>BALTIMORE, MD</t>
        </is>
      </c>
      <c r="H20" s="1">
        <f>H6</f>
        <v/>
      </c>
      <c r="I20" s="1">
        <f>I6</f>
        <v/>
      </c>
      <c r="J20" s="1">
        <f>J6</f>
        <v/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9">
        <f>SUM(H20,K20,N20,Q20)</f>
        <v/>
      </c>
      <c r="U20" s="9">
        <f>SUM(I20,L20,O20,R20)</f>
        <v/>
      </c>
      <c r="V20" s="9">
        <f>SUM(J20,M20,P20,S20)</f>
        <v/>
      </c>
      <c r="W20" s="3" t="n">
        <v>46082</v>
      </c>
      <c r="X20" s="3" t="n">
        <v>46112</v>
      </c>
      <c r="Y20" s="1" t="n"/>
      <c r="AA20" s="13" t="n">
        <v>46082</v>
      </c>
      <c r="AB20" s="13" t="n">
        <v>46112</v>
      </c>
      <c r="AC20" s="9" t="n"/>
      <c r="AD20" s="9">
        <f>T20-AA20</f>
        <v/>
      </c>
      <c r="AE20" s="9">
        <f>U20-AB20</f>
        <v/>
      </c>
      <c r="AF20" s="9">
        <f>V20-AC20</f>
        <v/>
      </c>
    </row>
    <row r="21">
      <c r="A21">
        <f>E21&amp;F21</f>
        <v/>
      </c>
      <c r="C21" s="4">
        <f>VLOOKUP(D21,Sheet1!$A$1:$B$4,2,FALSE)</f>
        <v/>
      </c>
      <c r="D21" s="4" t="inlineStr">
        <is>
          <t>ANTWERP</t>
        </is>
      </c>
      <c r="E21" s="4" t="inlineStr">
        <is>
          <t>ANTWERP</t>
        </is>
      </c>
      <c r="F21" s="4" t="inlineStr">
        <is>
          <t>NORFOLK, VA</t>
        </is>
      </c>
      <c r="G21" s="4" t="inlineStr">
        <is>
          <t>NORFOLK, VA</t>
        </is>
      </c>
      <c r="H21" s="1">
        <f>H7</f>
        <v/>
      </c>
      <c r="I21" s="1">
        <f>I7</f>
        <v/>
      </c>
      <c r="J21" s="1">
        <f>J7</f>
        <v/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9">
        <f>SUM(H21,K21,N21,Q21)</f>
        <v/>
      </c>
      <c r="U21" s="9">
        <f>SUM(I21,L21,O21,R21)</f>
        <v/>
      </c>
      <c r="V21" s="9">
        <f>SUM(J21,M21,P21,S21)</f>
        <v/>
      </c>
      <c r="W21" s="3" t="n">
        <v>46082</v>
      </c>
      <c r="X21" s="3" t="n">
        <v>46112</v>
      </c>
      <c r="Y21" s="1" t="n"/>
      <c r="AA21" s="13" t="n">
        <v>46082</v>
      </c>
      <c r="AB21" s="13" t="n">
        <v>46112</v>
      </c>
      <c r="AC21" s="9" t="n"/>
      <c r="AD21" s="9">
        <f>T21-AA21</f>
        <v/>
      </c>
      <c r="AE21" s="9">
        <f>U21-AB21</f>
        <v/>
      </c>
      <c r="AF21" s="9">
        <f>V21-AC21</f>
        <v/>
      </c>
    </row>
    <row r="22">
      <c r="A22">
        <f>E22&amp;F22</f>
        <v/>
      </c>
      <c r="C22" s="4">
        <f>VLOOKUP(D22,Sheet1!$A$1:$B$4,2,FALSE)</f>
        <v/>
      </c>
      <c r="D22" s="4" t="inlineStr">
        <is>
          <t>ANTWERP</t>
        </is>
      </c>
      <c r="E22" s="4" t="inlineStr">
        <is>
          <t>ANTWERP</t>
        </is>
      </c>
      <c r="F22" s="4" t="inlineStr">
        <is>
          <t>HOUSTON, TX</t>
        </is>
      </c>
      <c r="G22" s="4" t="inlineStr">
        <is>
          <t>HOUSTON, TX</t>
        </is>
      </c>
      <c r="H22" s="1">
        <f>H8</f>
        <v/>
      </c>
      <c r="I22" s="1">
        <f>I8</f>
        <v/>
      </c>
      <c r="J22" s="1">
        <f>J8</f>
        <v/>
      </c>
      <c r="K22" s="2" t="n"/>
      <c r="L22" s="2" t="n"/>
      <c r="M22" s="2" t="n"/>
      <c r="N22" s="2" t="n"/>
      <c r="O22" s="2" t="n"/>
      <c r="P22" s="2" t="n"/>
      <c r="Q22" s="2" t="n">
        <v>80.48999999999999</v>
      </c>
      <c r="R22" s="2" t="n">
        <v>80.48999999999999</v>
      </c>
      <c r="S22" s="2" t="n">
        <v>80.48999999999999</v>
      </c>
      <c r="T22" s="9">
        <f>SUM(H22,K22,N22,Q22)</f>
        <v/>
      </c>
      <c r="U22" s="9">
        <f>SUM(I22,L22,O22,R22)</f>
        <v/>
      </c>
      <c r="V22" s="9">
        <f>SUM(J22,M22,P22,S22)</f>
        <v/>
      </c>
      <c r="W22" s="3" t="n">
        <v>46082</v>
      </c>
      <c r="X22" s="3" t="n">
        <v>46112</v>
      </c>
      <c r="Y22" s="1" t="n"/>
      <c r="AA22" s="13" t="n">
        <v>46082</v>
      </c>
      <c r="AB22" s="13" t="n">
        <v>46112</v>
      </c>
      <c r="AC22" s="9" t="n"/>
      <c r="AD22" s="9">
        <f>T22-AA22</f>
        <v/>
      </c>
      <c r="AE22" s="9">
        <f>U22-AB22</f>
        <v/>
      </c>
      <c r="AF22" s="9">
        <f>V22-AC22</f>
        <v/>
      </c>
    </row>
    <row r="23">
      <c r="A23">
        <f>E23&amp;F23</f>
        <v/>
      </c>
      <c r="C23" s="4">
        <f>VLOOKUP(D23,Sheet1!$A$1:$B$4,2,FALSE)</f>
        <v/>
      </c>
      <c r="D23" s="4" t="inlineStr">
        <is>
          <t>ANTWERP</t>
        </is>
      </c>
      <c r="E23" s="4" t="inlineStr">
        <is>
          <t>ANTWERP</t>
        </is>
      </c>
      <c r="F23" s="4" t="inlineStr">
        <is>
          <t>NEW ORLEANS, LA</t>
        </is>
      </c>
      <c r="G23" s="4" t="inlineStr">
        <is>
          <t>NEW ORLEANS, LA</t>
        </is>
      </c>
      <c r="H23" s="1">
        <f>H9</f>
        <v/>
      </c>
      <c r="I23" s="1">
        <f>I9</f>
        <v/>
      </c>
      <c r="J23" s="1">
        <f>J9</f>
        <v/>
      </c>
      <c r="K23" s="2" t="n"/>
      <c r="L23" s="2" t="n"/>
      <c r="M23" s="2" t="n"/>
      <c r="N23" s="2" t="n"/>
      <c r="O23" s="2" t="n"/>
      <c r="P23" s="2" t="n"/>
      <c r="Q23" s="2" t="n">
        <v>68</v>
      </c>
      <c r="R23" s="2" t="n">
        <v>68</v>
      </c>
      <c r="S23" s="2" t="n">
        <v>68</v>
      </c>
      <c r="T23" s="9">
        <f>SUM(H23,K23,N23,Q23)</f>
        <v/>
      </c>
      <c r="U23" s="9">
        <f>SUM(I23,L23,O23,R23)</f>
        <v/>
      </c>
      <c r="V23" s="9">
        <f>SUM(J23,M23,P23,S23)</f>
        <v/>
      </c>
      <c r="W23" s="3" t="n">
        <v>46082</v>
      </c>
      <c r="X23" s="3" t="n">
        <v>46112</v>
      </c>
      <c r="Y23" s="1" t="n"/>
      <c r="AA23" s="13" t="n">
        <v>46082</v>
      </c>
      <c r="AB23" s="13" t="n">
        <v>46112</v>
      </c>
      <c r="AC23" s="9" t="n"/>
      <c r="AD23" s="9">
        <f>T23-AA23</f>
        <v/>
      </c>
      <c r="AE23" s="9">
        <f>U23-AB23</f>
        <v/>
      </c>
      <c r="AF23" s="9">
        <f>V23-AC23</f>
        <v/>
      </c>
    </row>
    <row r="24">
      <c r="A24">
        <f>E24&amp;F24</f>
        <v/>
      </c>
      <c r="C24" s="4">
        <f>VLOOKUP(D24,Sheet1!$A$1:$B$4,2,FALSE)</f>
        <v/>
      </c>
      <c r="D24" s="4" t="inlineStr">
        <is>
          <t>ANTWERP</t>
        </is>
      </c>
      <c r="E24" s="4" t="inlineStr">
        <is>
          <t>ANTWERP</t>
        </is>
      </c>
      <c r="F24" s="4" t="inlineStr">
        <is>
          <t>SAVANNAH, GA</t>
        </is>
      </c>
      <c r="G24" s="4" t="inlineStr">
        <is>
          <t>SAVANNAH, GA</t>
        </is>
      </c>
      <c r="H24" s="1">
        <f>H10</f>
        <v/>
      </c>
      <c r="I24" s="1">
        <f>I10</f>
        <v/>
      </c>
      <c r="J24" s="1">
        <f>J10</f>
        <v/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9">
        <f>SUM(H24,K24,N24,Q24)</f>
        <v/>
      </c>
      <c r="U24" s="9">
        <f>SUM(I24,L24,O24,R24)</f>
        <v/>
      </c>
      <c r="V24" s="9">
        <f>SUM(J24,M24,P24,S24)</f>
        <v/>
      </c>
      <c r="W24" s="3" t="n">
        <v>46082</v>
      </c>
      <c r="X24" s="3" t="n">
        <v>46112</v>
      </c>
      <c r="Y24" s="1" t="n"/>
      <c r="AA24" s="13" t="n">
        <v>46082</v>
      </c>
      <c r="AB24" s="13" t="n">
        <v>46112</v>
      </c>
      <c r="AC24" s="9" t="n"/>
      <c r="AD24" s="9">
        <f>T24-AA24</f>
        <v/>
      </c>
      <c r="AE24" s="9">
        <f>U24-AB24</f>
        <v/>
      </c>
      <c r="AF24" s="9">
        <f>V24-AC24</f>
        <v/>
      </c>
    </row>
    <row r="25">
      <c r="A25">
        <f>E25&amp;F25</f>
        <v/>
      </c>
      <c r="C25" s="4">
        <f>VLOOKUP(D25,Sheet1!$A$1:$B$4,2,FALSE)</f>
        <v/>
      </c>
      <c r="D25" s="4" t="inlineStr">
        <is>
          <t>ANTWERP</t>
        </is>
      </c>
      <c r="E25" s="4" t="inlineStr">
        <is>
          <t>ANTWERP</t>
        </is>
      </c>
      <c r="F25" s="4" t="inlineStr">
        <is>
          <t>CHARLESTON, SC</t>
        </is>
      </c>
      <c r="G25" s="4" t="inlineStr">
        <is>
          <t>CHARLESTON, SC</t>
        </is>
      </c>
      <c r="H25" s="1">
        <f>H11</f>
        <v/>
      </c>
      <c r="I25" s="1">
        <f>I11</f>
        <v/>
      </c>
      <c r="J25" s="1">
        <f>J11</f>
        <v/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9">
        <f>SUM(H25,K25,N25,Q25)</f>
        <v/>
      </c>
      <c r="U25" s="9">
        <f>SUM(I25,L25,O25,R25)</f>
        <v/>
      </c>
      <c r="V25" s="9">
        <f>SUM(J25,M25,P25,S25)</f>
        <v/>
      </c>
      <c r="W25" s="3" t="n">
        <v>46082</v>
      </c>
      <c r="X25" s="3" t="n">
        <v>46112</v>
      </c>
      <c r="Y25" s="1" t="n"/>
      <c r="AA25" s="13" t="n">
        <v>46082</v>
      </c>
      <c r="AB25" s="13" t="n">
        <v>46112</v>
      </c>
      <c r="AC25" s="9" t="n"/>
      <c r="AD25" s="9">
        <f>T25-AA25</f>
        <v/>
      </c>
      <c r="AE25" s="9">
        <f>U25-AB25</f>
        <v/>
      </c>
      <c r="AF25" s="9">
        <f>V25-AC25</f>
        <v/>
      </c>
    </row>
    <row r="26">
      <c r="A26">
        <f>E26&amp;F26</f>
        <v/>
      </c>
      <c r="C26" s="4">
        <f>VLOOKUP(D26,Sheet1!$A$1:$B$4,2,FALSE)</f>
        <v/>
      </c>
      <c r="D26" s="4" t="inlineStr">
        <is>
          <t>HAMBURG</t>
        </is>
      </c>
      <c r="E26" s="4" t="inlineStr">
        <is>
          <t>HAMBURG</t>
        </is>
      </c>
      <c r="F26" s="4" t="inlineStr">
        <is>
          <t>MIAMI, FL</t>
        </is>
      </c>
      <c r="G26" s="4" t="inlineStr">
        <is>
          <t>MIAMI, FL</t>
        </is>
      </c>
      <c r="H26" s="7" t="n">
        <v>2100</v>
      </c>
      <c r="I26" s="7" t="n">
        <v>2500</v>
      </c>
      <c r="J26" s="7" t="n">
        <v>2500</v>
      </c>
      <c r="K26" s="2" t="n"/>
      <c r="L26" s="2" t="n"/>
      <c r="M26" s="2" t="n"/>
      <c r="N26" s="2" t="n"/>
      <c r="O26" s="2" t="n"/>
      <c r="P26" s="2" t="n"/>
      <c r="Q26" s="2" t="n">
        <v>37</v>
      </c>
      <c r="R26" s="2" t="n">
        <v>75</v>
      </c>
      <c r="S26" s="2" t="n">
        <v>75</v>
      </c>
      <c r="T26" s="9">
        <f>SUM(H26,K26,N26,Q26)</f>
        <v/>
      </c>
      <c r="U26" s="9">
        <f>SUM(I26,L26,O26,R26)</f>
        <v/>
      </c>
      <c r="V26" s="9">
        <f>SUM(J26,M26,P26,S26)</f>
        <v/>
      </c>
      <c r="W26" s="3" t="n">
        <v>46082</v>
      </c>
      <c r="X26" s="3" t="n">
        <v>46112</v>
      </c>
      <c r="Y26" s="1" t="n"/>
      <c r="AA26" s="13" t="n">
        <v>46082</v>
      </c>
      <c r="AB26" s="13" t="n">
        <v>46112</v>
      </c>
      <c r="AC26" s="9" t="n"/>
      <c r="AD26" s="9">
        <f>T26-AA26</f>
        <v/>
      </c>
      <c r="AE26" s="9">
        <f>U26-AB26</f>
        <v/>
      </c>
      <c r="AF26" s="9">
        <f>V26-AC26</f>
        <v/>
      </c>
    </row>
    <row r="27">
      <c r="A27">
        <f>E27&amp;F27</f>
        <v/>
      </c>
      <c r="C27" s="4">
        <f>VLOOKUP(D27,Sheet1!$A$1:$B$4,2,FALSE)</f>
        <v/>
      </c>
      <c r="D27" s="4" t="inlineStr">
        <is>
          <t>HAMBURG</t>
        </is>
      </c>
      <c r="E27" s="4" t="inlineStr">
        <is>
          <t>HAMBURG</t>
        </is>
      </c>
      <c r="F27" s="4" t="inlineStr">
        <is>
          <t>OAKLAND, CA</t>
        </is>
      </c>
      <c r="G27" s="4" t="inlineStr">
        <is>
          <t>OAKLAND, CA</t>
        </is>
      </c>
      <c r="H27" s="7" t="n">
        <v>2100</v>
      </c>
      <c r="I27" s="7" t="n">
        <v>2500</v>
      </c>
      <c r="J27" s="7" t="n">
        <v>2500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9">
        <f>SUM(H27,K27,N27,Q27)</f>
        <v/>
      </c>
      <c r="U27" s="9">
        <f>SUM(I27,L27,O27,R27)</f>
        <v/>
      </c>
      <c r="V27" s="9">
        <f>SUM(J27,M27,P27,S27)</f>
        <v/>
      </c>
      <c r="W27" s="3" t="n">
        <v>46082</v>
      </c>
      <c r="X27" s="3" t="n">
        <v>46112</v>
      </c>
      <c r="Y27" s="1" t="n"/>
      <c r="AA27" s="13" t="n">
        <v>46082</v>
      </c>
      <c r="AB27" s="13" t="n">
        <v>46112</v>
      </c>
      <c r="AC27" s="9" t="n"/>
      <c r="AD27" s="9">
        <f>T27-AA27</f>
        <v/>
      </c>
      <c r="AE27" s="9">
        <f>U27-AB27</f>
        <v/>
      </c>
      <c r="AF27" s="9">
        <f>V27-AC27</f>
        <v/>
      </c>
    </row>
    <row r="28">
      <c r="A28">
        <f>E28&amp;F28</f>
        <v/>
      </c>
      <c r="C28" s="4">
        <f>VLOOKUP(D28,Sheet1!$A$1:$B$4,2,FALSE)</f>
        <v/>
      </c>
      <c r="D28" s="4" t="inlineStr">
        <is>
          <t>HAMBURG</t>
        </is>
      </c>
      <c r="E28" s="4" t="inlineStr">
        <is>
          <t>HAMBURG</t>
        </is>
      </c>
      <c r="F28" s="4" t="inlineStr">
        <is>
          <t>LONG BEACH, CA</t>
        </is>
      </c>
      <c r="G28" s="4" t="inlineStr">
        <is>
          <t>LONG BEACH, CA</t>
        </is>
      </c>
      <c r="H28" s="7" t="n">
        <v>2100</v>
      </c>
      <c r="I28" s="7" t="n">
        <v>2500</v>
      </c>
      <c r="J28" s="7" t="n">
        <v>2500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9">
        <f>SUM(H28,K28,N28,Q28)</f>
        <v/>
      </c>
      <c r="U28" s="9">
        <f>SUM(I28,L28,O28,R28)</f>
        <v/>
      </c>
      <c r="V28" s="9">
        <f>SUM(J28,M28,P28,S28)</f>
        <v/>
      </c>
      <c r="W28" s="3" t="n">
        <v>46082</v>
      </c>
      <c r="X28" s="3" t="n">
        <v>46112</v>
      </c>
      <c r="Y28" s="1" t="n"/>
      <c r="AA28" s="13" t="n">
        <v>46082</v>
      </c>
      <c r="AB28" s="13" t="n">
        <v>46112</v>
      </c>
      <c r="AC28" s="9" t="n"/>
      <c r="AD28" s="9">
        <f>T28-AA28</f>
        <v/>
      </c>
      <c r="AE28" s="9">
        <f>U28-AB28</f>
        <v/>
      </c>
      <c r="AF28" s="9">
        <f>V28-AC28</f>
        <v/>
      </c>
    </row>
    <row r="29">
      <c r="A29">
        <f>E29&amp;F29</f>
        <v/>
      </c>
      <c r="C29" s="4">
        <f>VLOOKUP(D29,Sheet1!$A$1:$B$4,2,FALSE)</f>
        <v/>
      </c>
      <c r="D29" s="4" t="inlineStr">
        <is>
          <t>ROTTERDAM</t>
        </is>
      </c>
      <c r="E29" s="4" t="inlineStr">
        <is>
          <t>ROTTERDAM</t>
        </is>
      </c>
      <c r="F29" s="4" t="inlineStr">
        <is>
          <t>MIAMI, FL</t>
        </is>
      </c>
      <c r="G29" s="4" t="inlineStr">
        <is>
          <t>MIAMI, FL</t>
        </is>
      </c>
      <c r="H29" s="1">
        <f>H26</f>
        <v/>
      </c>
      <c r="I29" s="1">
        <f>I26</f>
        <v/>
      </c>
      <c r="J29" s="1">
        <f>J26</f>
        <v/>
      </c>
      <c r="K29" s="2" t="n"/>
      <c r="L29" s="2" t="n"/>
      <c r="M29" s="2" t="n"/>
      <c r="N29" s="2" t="n"/>
      <c r="O29" s="2" t="n"/>
      <c r="P29" s="2" t="n"/>
      <c r="Q29" s="2" t="n">
        <v>37</v>
      </c>
      <c r="R29" s="2" t="n">
        <v>75</v>
      </c>
      <c r="S29" s="2" t="n">
        <v>75</v>
      </c>
      <c r="T29" s="9">
        <f>SUM(H29,K29,N29,Q29)</f>
        <v/>
      </c>
      <c r="U29" s="9">
        <f>SUM(I29,L29,O29,R29)</f>
        <v/>
      </c>
      <c r="V29" s="9">
        <f>SUM(J29,M29,P29,S29)</f>
        <v/>
      </c>
      <c r="W29" s="3" t="n">
        <v>46082</v>
      </c>
      <c r="X29" s="3" t="n">
        <v>46112</v>
      </c>
      <c r="Y29" s="1" t="n"/>
      <c r="AA29" s="13" t="n">
        <v>46082</v>
      </c>
      <c r="AB29" s="13" t="n">
        <v>46112</v>
      </c>
      <c r="AC29" s="9" t="n"/>
      <c r="AD29" s="9">
        <f>T29-AA29</f>
        <v/>
      </c>
      <c r="AE29" s="9">
        <f>U29-AB29</f>
        <v/>
      </c>
      <c r="AF29" s="9">
        <f>V29-AC29</f>
        <v/>
      </c>
    </row>
    <row r="30">
      <c r="A30">
        <f>E30&amp;F30</f>
        <v/>
      </c>
      <c r="C30" s="4">
        <f>VLOOKUP(D30,Sheet1!$A$1:$B$4,2,FALSE)</f>
        <v/>
      </c>
      <c r="D30" s="4" t="inlineStr">
        <is>
          <t>ROTTERDAM</t>
        </is>
      </c>
      <c r="E30" s="4" t="inlineStr">
        <is>
          <t>ROTTERDAM</t>
        </is>
      </c>
      <c r="F30" s="4" t="inlineStr">
        <is>
          <t>OAKLAND, CA</t>
        </is>
      </c>
      <c r="G30" s="4" t="inlineStr">
        <is>
          <t>OAKLAND, CA</t>
        </is>
      </c>
      <c r="H30" s="1">
        <f>H27</f>
        <v/>
      </c>
      <c r="I30" s="1">
        <f>I27</f>
        <v/>
      </c>
      <c r="J30" s="1">
        <f>J27</f>
        <v/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9">
        <f>SUM(H30,K30,N30,Q30)</f>
        <v/>
      </c>
      <c r="U30" s="9">
        <f>SUM(I30,L30,O30,R30)</f>
        <v/>
      </c>
      <c r="V30" s="9">
        <f>SUM(J30,M30,P30,S30)</f>
        <v/>
      </c>
      <c r="W30" s="3" t="n">
        <v>46082</v>
      </c>
      <c r="X30" s="3" t="n">
        <v>46112</v>
      </c>
      <c r="Y30" s="1" t="n"/>
      <c r="AA30" s="13" t="n">
        <v>46082</v>
      </c>
      <c r="AB30" s="13" t="n">
        <v>46112</v>
      </c>
      <c r="AC30" s="9" t="n"/>
      <c r="AD30" s="9">
        <f>T30-AA30</f>
        <v/>
      </c>
      <c r="AE30" s="9">
        <f>U30-AB30</f>
        <v/>
      </c>
      <c r="AF30" s="9">
        <f>V30-AC30</f>
        <v/>
      </c>
    </row>
    <row r="31">
      <c r="A31">
        <f>E31&amp;F31</f>
        <v/>
      </c>
      <c r="C31" s="4">
        <f>VLOOKUP(D31,Sheet1!$A$1:$B$4,2,FALSE)</f>
        <v/>
      </c>
      <c r="D31" s="4" t="inlineStr">
        <is>
          <t>ROTTERDAM</t>
        </is>
      </c>
      <c r="E31" s="4" t="inlineStr">
        <is>
          <t>ROTTERDAM</t>
        </is>
      </c>
      <c r="F31" s="4" t="inlineStr">
        <is>
          <t>LONG BEACH, CA</t>
        </is>
      </c>
      <c r="G31" s="4" t="inlineStr">
        <is>
          <t>LONG BEACH, CA</t>
        </is>
      </c>
      <c r="H31" s="1">
        <f>H28</f>
        <v/>
      </c>
      <c r="I31" s="1">
        <f>I28</f>
        <v/>
      </c>
      <c r="J31" s="1">
        <f>J28</f>
        <v/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9">
        <f>SUM(H31,K31,N31,Q31)</f>
        <v/>
      </c>
      <c r="U31" s="9">
        <f>SUM(I31,L31,O31,R31)</f>
        <v/>
      </c>
      <c r="V31" s="9">
        <f>SUM(J31,M31,P31,S31)</f>
        <v/>
      </c>
      <c r="W31" s="3" t="n">
        <v>46082</v>
      </c>
      <c r="X31" s="3" t="n">
        <v>46112</v>
      </c>
      <c r="Y31" s="1" t="n"/>
      <c r="AA31" s="13" t="n">
        <v>46082</v>
      </c>
      <c r="AB31" s="13" t="n">
        <v>46112</v>
      </c>
      <c r="AC31" s="9" t="n"/>
      <c r="AD31" s="9">
        <f>T31-AA31</f>
        <v/>
      </c>
      <c r="AE31" s="9">
        <f>U31-AB31</f>
        <v/>
      </c>
      <c r="AF31" s="9">
        <f>V31-AC31</f>
        <v/>
      </c>
    </row>
    <row r="32">
      <c r="A32">
        <f>E32&amp;F32</f>
        <v/>
      </c>
      <c r="C32" s="4">
        <f>VLOOKUP(D32,Sheet1!$A$1:$B$4,2,FALSE)</f>
        <v/>
      </c>
      <c r="D32" s="4" t="inlineStr">
        <is>
          <t>ANTWERP</t>
        </is>
      </c>
      <c r="E32" s="4" t="inlineStr">
        <is>
          <t>ANTWERP</t>
        </is>
      </c>
      <c r="F32" s="4" t="inlineStr">
        <is>
          <t>MIAMI, FL</t>
        </is>
      </c>
      <c r="G32" s="4" t="inlineStr">
        <is>
          <t>MIAMI, FL</t>
        </is>
      </c>
      <c r="H32" s="1">
        <f>H26</f>
        <v/>
      </c>
      <c r="I32" s="1">
        <f>I26</f>
        <v/>
      </c>
      <c r="J32" s="1">
        <f>J26</f>
        <v/>
      </c>
      <c r="K32" s="2" t="n"/>
      <c r="L32" s="2" t="n"/>
      <c r="M32" s="2" t="n"/>
      <c r="N32" s="2" t="n"/>
      <c r="O32" s="2" t="n"/>
      <c r="P32" s="2" t="n"/>
      <c r="Q32" s="2" t="n">
        <v>37</v>
      </c>
      <c r="R32" s="2" t="n">
        <v>75</v>
      </c>
      <c r="S32" s="2" t="n">
        <v>75</v>
      </c>
      <c r="T32" s="9">
        <f>SUM(H32,K32,N32,Q32)</f>
        <v/>
      </c>
      <c r="U32" s="9">
        <f>SUM(I32,L32,O32,R32)</f>
        <v/>
      </c>
      <c r="V32" s="9">
        <f>SUM(J32,M32,P32,S32)</f>
        <v/>
      </c>
      <c r="W32" s="3" t="n">
        <v>46082</v>
      </c>
      <c r="X32" s="3" t="n">
        <v>46112</v>
      </c>
      <c r="Y32" s="1" t="n"/>
      <c r="AA32" s="13" t="n">
        <v>46082</v>
      </c>
      <c r="AB32" s="13" t="n">
        <v>46112</v>
      </c>
      <c r="AC32" s="9" t="n"/>
      <c r="AD32" s="9">
        <f>T32-AA32</f>
        <v/>
      </c>
      <c r="AE32" s="9">
        <f>U32-AB32</f>
        <v/>
      </c>
      <c r="AF32" s="9">
        <f>V32-AC32</f>
        <v/>
      </c>
    </row>
    <row r="33">
      <c r="A33">
        <f>E33&amp;F33</f>
        <v/>
      </c>
      <c r="C33" s="4">
        <f>VLOOKUP(D33,Sheet1!$A$1:$B$4,2,FALSE)</f>
        <v/>
      </c>
      <c r="D33" s="4" t="inlineStr">
        <is>
          <t>ANTWERP</t>
        </is>
      </c>
      <c r="E33" s="4" t="inlineStr">
        <is>
          <t>ANTWERP</t>
        </is>
      </c>
      <c r="F33" s="4" t="inlineStr">
        <is>
          <t>OAKLAND, CA</t>
        </is>
      </c>
      <c r="G33" s="4" t="inlineStr">
        <is>
          <t>OAKLAND, CA</t>
        </is>
      </c>
      <c r="H33" s="1">
        <f>H27</f>
        <v/>
      </c>
      <c r="I33" s="1">
        <f>I27</f>
        <v/>
      </c>
      <c r="J33" s="1">
        <f>J27</f>
        <v/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9">
        <f>SUM(H33,K33,N33,Q33)</f>
        <v/>
      </c>
      <c r="U33" s="9">
        <f>SUM(I33,L33,O33,R33)</f>
        <v/>
      </c>
      <c r="V33" s="9">
        <f>SUM(J33,M33,P33,S33)</f>
        <v/>
      </c>
      <c r="W33" s="3" t="n">
        <v>46082</v>
      </c>
      <c r="X33" s="3" t="n">
        <v>46112</v>
      </c>
      <c r="Y33" s="1" t="n"/>
      <c r="AA33" s="13" t="n">
        <v>46082</v>
      </c>
      <c r="AB33" s="13" t="n">
        <v>46112</v>
      </c>
      <c r="AC33" s="9" t="n"/>
      <c r="AD33" s="9">
        <f>T33-AA33</f>
        <v/>
      </c>
      <c r="AE33" s="9">
        <f>U33-AB33</f>
        <v/>
      </c>
      <c r="AF33" s="9">
        <f>V33-AC33</f>
        <v/>
      </c>
    </row>
    <row r="34">
      <c r="A34">
        <f>E34&amp;F34</f>
        <v/>
      </c>
      <c r="C34" s="4">
        <f>VLOOKUP(D34,Sheet1!$A$1:$B$4,2,FALSE)</f>
        <v/>
      </c>
      <c r="D34" s="4" t="inlineStr">
        <is>
          <t>ANTWERP</t>
        </is>
      </c>
      <c r="E34" s="4" t="inlineStr">
        <is>
          <t>ANTWERP</t>
        </is>
      </c>
      <c r="F34" s="4" t="inlineStr">
        <is>
          <t>LONG BEACH, CA</t>
        </is>
      </c>
      <c r="G34" s="4" t="inlineStr">
        <is>
          <t>LONG BEACH, CA</t>
        </is>
      </c>
      <c r="H34" s="1">
        <f>H28</f>
        <v/>
      </c>
      <c r="I34" s="1">
        <f>I28</f>
        <v/>
      </c>
      <c r="J34" s="1">
        <f>J28</f>
        <v/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9">
        <f>SUM(H34,K34,N34,Q34)</f>
        <v/>
      </c>
      <c r="U34" s="9">
        <f>SUM(I34,L34,O34,R34)</f>
        <v/>
      </c>
      <c r="V34" s="9">
        <f>SUM(J34,M34,P34,S34)</f>
        <v/>
      </c>
      <c r="W34" s="3" t="n">
        <v>46082</v>
      </c>
      <c r="X34" s="3" t="n">
        <v>46112</v>
      </c>
      <c r="Y34" s="1" t="n"/>
      <c r="AA34" s="13" t="n">
        <v>46082</v>
      </c>
      <c r="AB34" s="13" t="n">
        <v>46112</v>
      </c>
      <c r="AC34" s="9" t="n"/>
      <c r="AD34" s="9">
        <f>T34-AA34</f>
        <v/>
      </c>
      <c r="AE34" s="9">
        <f>U34-AB34</f>
        <v/>
      </c>
      <c r="AF34" s="9">
        <f>V34-AC34</f>
        <v/>
      </c>
    </row>
    <row r="35">
      <c r="A35">
        <f>E35&amp;F35</f>
        <v/>
      </c>
      <c r="B35">
        <f>G35&amp;F35</f>
        <v/>
      </c>
      <c r="C35" s="4">
        <f>VLOOKUP(D35,Sheet1!$A$1:$B$4,2,FALSE)</f>
        <v/>
      </c>
      <c r="D35" s="4" t="inlineStr">
        <is>
          <t>BREMERHAVEN</t>
        </is>
      </c>
      <c r="E35" s="4" t="inlineStr">
        <is>
          <t>BREMERHAVEN</t>
        </is>
      </c>
      <c r="F35" s="4" t="inlineStr">
        <is>
          <t>SAVANNAH, GA</t>
        </is>
      </c>
      <c r="G35" s="4" t="inlineStr">
        <is>
          <t>ATLANTA, GA</t>
        </is>
      </c>
      <c r="H35" s="5">
        <f>VLOOKUP($A35,$A$5:$J$34,8,FALSE)</f>
        <v/>
      </c>
      <c r="I35" s="5">
        <f>VLOOKUP($A35,$A$5:$J$34,9,FALSE)</f>
        <v/>
      </c>
      <c r="J35" s="5">
        <f>VLOOKUP($A35,$A$5:$J$34,10,FALSE)</f>
        <v/>
      </c>
      <c r="K35" s="5">
        <f>VLOOKUP($B35,'US inland'!$A$7:$G$27,6,FALSE)</f>
        <v/>
      </c>
      <c r="L35" s="5">
        <f>VLOOKUP($B35,'US inland'!$A$7:$G$27,7,FALSE)</f>
        <v/>
      </c>
      <c r="M35" s="5">
        <f>VLOOKUP($B35,'US inland'!$A$7:$G$27,7,FALSE)</f>
        <v/>
      </c>
      <c r="N35" s="6">
        <f>VLOOKUP($F35,$F$19:$S$34,9,FALSE)</f>
        <v/>
      </c>
      <c r="O35" s="5">
        <f>VLOOKUP($F35,$F$19:$S$34,10,FALSE)</f>
        <v/>
      </c>
      <c r="P35" s="5">
        <f>VLOOKUP($F35,$F$19:$S$34,11,FALSE)</f>
        <v/>
      </c>
      <c r="Q35" s="5">
        <f>VLOOKUP($F35,$F$19:$S$34,12,FALSE)</f>
        <v/>
      </c>
      <c r="R35" s="5">
        <f>VLOOKUP($F35,$F$19:$S$34,13,FALSE)</f>
        <v/>
      </c>
      <c r="S35" s="5">
        <f>VLOOKUP($F35,$F$19:$S$34,14,FALSE)</f>
        <v/>
      </c>
      <c r="T35" s="9">
        <f>SUM(H35,K35,N35,Q35)</f>
        <v/>
      </c>
      <c r="U35" s="9">
        <f>SUM(I35,L35,O35,R35)</f>
        <v/>
      </c>
      <c r="V35" s="9">
        <f>SUM(J35,M35,P35,S35)</f>
        <v/>
      </c>
      <c r="W35" s="3" t="n">
        <v>46082</v>
      </c>
      <c r="X35" s="3" t="n">
        <v>46112</v>
      </c>
      <c r="Y35" s="5" t="n"/>
      <c r="AA35" s="13" t="n">
        <v>46082</v>
      </c>
      <c r="AB35" s="13" t="n">
        <v>46112</v>
      </c>
      <c r="AC35" s="9" t="n"/>
      <c r="AD35" s="9">
        <f>T35-AA35</f>
        <v/>
      </c>
      <c r="AE35" s="9">
        <f>U35-AB35</f>
        <v/>
      </c>
      <c r="AF35" s="9">
        <f>V35-AC35</f>
        <v/>
      </c>
    </row>
    <row r="36">
      <c r="A36">
        <f>E36&amp;F36</f>
        <v/>
      </c>
      <c r="B36">
        <f>G36&amp;F36</f>
        <v/>
      </c>
      <c r="C36" s="4">
        <f>VLOOKUP(D36,Sheet1!$A$1:$B$4,2,FALSE)</f>
        <v/>
      </c>
      <c r="D36" s="4" t="inlineStr">
        <is>
          <t>BREMERHAVEN</t>
        </is>
      </c>
      <c r="E36" s="4" t="inlineStr">
        <is>
          <t>BREMERHAVEN</t>
        </is>
      </c>
      <c r="F36" s="4" t="inlineStr">
        <is>
          <t>SAVANNAH, GA</t>
        </is>
      </c>
      <c r="G36" s="4" t="inlineStr">
        <is>
          <t>CHARLOTTE, NC</t>
        </is>
      </c>
      <c r="H36" s="5">
        <f>VLOOKUP($A36,$A$5:$J$34,8,FALSE)</f>
        <v/>
      </c>
      <c r="I36" s="5">
        <f>VLOOKUP($A36,$A$5:$J$34,8,FALSE)</f>
        <v/>
      </c>
      <c r="J36" s="5">
        <f>VLOOKUP($A36,$A$5:$J$34,9,FALSE)</f>
        <v/>
      </c>
      <c r="K36" s="5">
        <f>VLOOKUP($B36,'US inland'!$A$7:$G$27,6,FALSE)</f>
        <v/>
      </c>
      <c r="L36" s="5">
        <f>VLOOKUP($B36,'US inland'!$A$7:$G$27,7,FALSE)</f>
        <v/>
      </c>
      <c r="M36" s="5">
        <f>VLOOKUP($B36,'US inland'!$A$7:$G$27,7,FALSE)</f>
        <v/>
      </c>
      <c r="N36" s="6">
        <f>VLOOKUP($F36,$F$19:$S$34,9,FALSE)</f>
        <v/>
      </c>
      <c r="O36" s="5">
        <f>VLOOKUP($F36,$F$19:$S$34,10,FALSE)</f>
        <v/>
      </c>
      <c r="P36" s="5">
        <f>VLOOKUP($F36,$F$19:$S$34,11,FALSE)</f>
        <v/>
      </c>
      <c r="Q36" s="5">
        <f>VLOOKUP($F36,$F$19:$S$34,12,FALSE)</f>
        <v/>
      </c>
      <c r="R36" s="5">
        <f>VLOOKUP($F36,$F$19:$S$34,13,FALSE)</f>
        <v/>
      </c>
      <c r="S36" s="5">
        <f>VLOOKUP($F36,$F$19:$S$34,14,FALSE)</f>
        <v/>
      </c>
      <c r="T36" s="9">
        <f>SUM(H36,K36,N36,Q36)</f>
        <v/>
      </c>
      <c r="U36" s="9">
        <f>SUM(I36,L36,O36,R36)</f>
        <v/>
      </c>
      <c r="V36" s="9">
        <f>SUM(J36,M36,P36,S36)</f>
        <v/>
      </c>
      <c r="W36" s="3" t="n">
        <v>46082</v>
      </c>
      <c r="X36" s="3" t="n">
        <v>46112</v>
      </c>
      <c r="Y36" s="5" t="n"/>
      <c r="AA36" s="13" t="n">
        <v>46082</v>
      </c>
      <c r="AB36" s="13" t="n">
        <v>46112</v>
      </c>
      <c r="AC36" s="9" t="n"/>
      <c r="AD36" s="9">
        <f>T36-AA36</f>
        <v/>
      </c>
      <c r="AE36" s="9">
        <f>U36-AB36</f>
        <v/>
      </c>
      <c r="AF36" s="9">
        <f>V36-AC36</f>
        <v/>
      </c>
    </row>
    <row r="37">
      <c r="A37">
        <f>E37&amp;F37</f>
        <v/>
      </c>
      <c r="B37">
        <f>G37&amp;F37</f>
        <v/>
      </c>
      <c r="C37" s="4">
        <f>VLOOKUP(D37,Sheet1!$A$1:$B$4,2,FALSE)</f>
        <v/>
      </c>
      <c r="D37" s="4" t="inlineStr">
        <is>
          <t>ROTTERDAM</t>
        </is>
      </c>
      <c r="E37" s="4" t="inlineStr">
        <is>
          <t>ROTTERDAM</t>
        </is>
      </c>
      <c r="F37" s="4" t="inlineStr">
        <is>
          <t>SAVANNAH, GA</t>
        </is>
      </c>
      <c r="G37" s="4" t="inlineStr">
        <is>
          <t>ATLANTA, GA</t>
        </is>
      </c>
      <c r="H37" s="5">
        <f>VLOOKUP($A37,$A$5:$J$34,8,FALSE)</f>
        <v/>
      </c>
      <c r="I37" s="5">
        <f>VLOOKUP($A37,$A$5:$J$34,8,FALSE)</f>
        <v/>
      </c>
      <c r="J37" s="5">
        <f>VLOOKUP($A37,$A$5:$J$34,9,FALSE)</f>
        <v/>
      </c>
      <c r="K37" s="5">
        <f>VLOOKUP($B37,'US inland'!$A$7:$G$27,6,FALSE)</f>
        <v/>
      </c>
      <c r="L37" s="5">
        <f>VLOOKUP($B37,'US inland'!$A$7:$G$27,7,FALSE)</f>
        <v/>
      </c>
      <c r="M37" s="5">
        <f>VLOOKUP($B37,'US inland'!$A$7:$G$27,7,FALSE)</f>
        <v/>
      </c>
      <c r="N37" s="6">
        <f>VLOOKUP($F37,$F$19:$S$34,9,FALSE)</f>
        <v/>
      </c>
      <c r="O37" s="5">
        <f>VLOOKUP($F37,$F$19:$S$34,10,FALSE)</f>
        <v/>
      </c>
      <c r="P37" s="5">
        <f>VLOOKUP($F37,$F$19:$S$34,11,FALSE)</f>
        <v/>
      </c>
      <c r="Q37" s="5">
        <f>VLOOKUP($F37,$F$19:$S$34,12,FALSE)</f>
        <v/>
      </c>
      <c r="R37" s="5">
        <f>VLOOKUP($F37,$F$19:$S$34,13,FALSE)</f>
        <v/>
      </c>
      <c r="S37" s="5">
        <f>VLOOKUP($F37,$F$19:$S$34,14,FALSE)</f>
        <v/>
      </c>
      <c r="T37" s="9">
        <f>SUM(H37,K37,N37,Q37)</f>
        <v/>
      </c>
      <c r="U37" s="9">
        <f>SUM(I37,L37,O37,R37)</f>
        <v/>
      </c>
      <c r="V37" s="9">
        <f>SUM(J37,M37,P37,S37)</f>
        <v/>
      </c>
      <c r="W37" s="3" t="n">
        <v>46082</v>
      </c>
      <c r="X37" s="3" t="n">
        <v>46112</v>
      </c>
      <c r="Y37" s="5" t="n"/>
      <c r="AA37" s="13" t="n">
        <v>46082</v>
      </c>
      <c r="AB37" s="13" t="n">
        <v>46112</v>
      </c>
      <c r="AC37" s="9" t="n"/>
      <c r="AD37" s="9">
        <f>T37-AA37</f>
        <v/>
      </c>
      <c r="AE37" s="9">
        <f>U37-AB37</f>
        <v/>
      </c>
      <c r="AF37" s="9">
        <f>V37-AC37</f>
        <v/>
      </c>
    </row>
    <row r="38">
      <c r="A38">
        <f>E38&amp;F38</f>
        <v/>
      </c>
      <c r="B38">
        <f>G38&amp;F38</f>
        <v/>
      </c>
      <c r="C38" s="4">
        <f>VLOOKUP(D38,Sheet1!$A$1:$B$4,2,FALSE)</f>
        <v/>
      </c>
      <c r="D38" s="4" t="inlineStr">
        <is>
          <t>ROTTERDAM</t>
        </is>
      </c>
      <c r="E38" s="4" t="inlineStr">
        <is>
          <t>ROTTERDAM</t>
        </is>
      </c>
      <c r="F38" s="4" t="inlineStr">
        <is>
          <t>SAVANNAH, GA</t>
        </is>
      </c>
      <c r="G38" s="4" t="inlineStr">
        <is>
          <t>CHARLOTTE, NC</t>
        </is>
      </c>
      <c r="H38" s="5">
        <f>VLOOKUP($A38,$A$5:$J$34,8,FALSE)</f>
        <v/>
      </c>
      <c r="I38" s="5">
        <f>VLOOKUP($A38,$A$5:$J$34,8,FALSE)</f>
        <v/>
      </c>
      <c r="J38" s="5">
        <f>VLOOKUP($A38,$A$5:$J$34,9,FALSE)</f>
        <v/>
      </c>
      <c r="K38" s="5">
        <f>VLOOKUP($B38,'US inland'!$A$7:$G$27,6,FALSE)</f>
        <v/>
      </c>
      <c r="L38" s="5">
        <f>VLOOKUP($B38,'US inland'!$A$7:$G$27,7,FALSE)</f>
        <v/>
      </c>
      <c r="M38" s="5">
        <f>VLOOKUP($B38,'US inland'!$A$7:$G$27,7,FALSE)</f>
        <v/>
      </c>
      <c r="N38" s="6">
        <f>VLOOKUP($F38,$F$19:$S$34,9,FALSE)</f>
        <v/>
      </c>
      <c r="O38" s="5">
        <f>VLOOKUP($F38,$F$19:$S$34,10,FALSE)</f>
        <v/>
      </c>
      <c r="P38" s="5">
        <f>VLOOKUP($F38,$F$19:$S$34,11,FALSE)</f>
        <v/>
      </c>
      <c r="Q38" s="5">
        <f>VLOOKUP($F38,$F$19:$S$34,12,FALSE)</f>
        <v/>
      </c>
      <c r="R38" s="5">
        <f>VLOOKUP($F38,$F$19:$S$34,13,FALSE)</f>
        <v/>
      </c>
      <c r="S38" s="5">
        <f>VLOOKUP($F38,$F$19:$S$34,14,FALSE)</f>
        <v/>
      </c>
      <c r="T38" s="9">
        <f>SUM(H38,K38,N38,Q38)</f>
        <v/>
      </c>
      <c r="U38" s="9">
        <f>SUM(I38,L38,O38,R38)</f>
        <v/>
      </c>
      <c r="V38" s="9">
        <f>SUM(J38,M38,P38,S38)</f>
        <v/>
      </c>
      <c r="W38" s="3" t="n">
        <v>46082</v>
      </c>
      <c r="X38" s="3" t="n">
        <v>46112</v>
      </c>
      <c r="Y38" s="5" t="n"/>
      <c r="AA38" s="13" t="n">
        <v>46082</v>
      </c>
      <c r="AB38" s="13" t="n">
        <v>46112</v>
      </c>
      <c r="AC38" s="9" t="n"/>
      <c r="AD38" s="9">
        <f>T38-AA38</f>
        <v/>
      </c>
      <c r="AE38" s="9">
        <f>U38-AB38</f>
        <v/>
      </c>
      <c r="AF38" s="9">
        <f>V38-AC38</f>
        <v/>
      </c>
    </row>
    <row r="39">
      <c r="A39">
        <f>E39&amp;F39</f>
        <v/>
      </c>
      <c r="B39">
        <f>G39&amp;F39</f>
        <v/>
      </c>
      <c r="C39" s="4">
        <f>VLOOKUP(D39,Sheet1!$A$1:$B$4,2,FALSE)</f>
        <v/>
      </c>
      <c r="D39" s="4" t="inlineStr">
        <is>
          <t>ANTWERP</t>
        </is>
      </c>
      <c r="E39" s="4" t="inlineStr">
        <is>
          <t>ANTWERP</t>
        </is>
      </c>
      <c r="F39" s="4" t="inlineStr">
        <is>
          <t>SAVANNAH, GA</t>
        </is>
      </c>
      <c r="G39" s="4" t="inlineStr">
        <is>
          <t>ATLANTA, GA</t>
        </is>
      </c>
      <c r="H39" s="5">
        <f>VLOOKUP($A39,$A$5:$J$34,8,FALSE)</f>
        <v/>
      </c>
      <c r="I39" s="5">
        <f>VLOOKUP($A39,$A$5:$J$34,8,FALSE)</f>
        <v/>
      </c>
      <c r="J39" s="5">
        <f>VLOOKUP($A39,$A$5:$J$34,9,FALSE)</f>
        <v/>
      </c>
      <c r="K39" s="5">
        <f>VLOOKUP($B39,'US inland'!$A$7:$G$27,6,FALSE)</f>
        <v/>
      </c>
      <c r="L39" s="5">
        <f>VLOOKUP($B39,'US inland'!$A$7:$G$27,7,FALSE)</f>
        <v/>
      </c>
      <c r="M39" s="5">
        <f>VLOOKUP($B39,'US inland'!$A$7:$G$27,7,FALSE)</f>
        <v/>
      </c>
      <c r="N39" s="6">
        <f>VLOOKUP($F39,$F$19:$S$34,9,FALSE)</f>
        <v/>
      </c>
      <c r="O39" s="5">
        <f>VLOOKUP($F39,$F$19:$S$34,10,FALSE)</f>
        <v/>
      </c>
      <c r="P39" s="5">
        <f>VLOOKUP($F39,$F$19:$S$34,11,FALSE)</f>
        <v/>
      </c>
      <c r="Q39" s="5">
        <f>VLOOKUP($F39,$F$19:$S$34,12,FALSE)</f>
        <v/>
      </c>
      <c r="R39" s="5">
        <f>VLOOKUP($F39,$F$19:$S$34,13,FALSE)</f>
        <v/>
      </c>
      <c r="S39" s="5">
        <f>VLOOKUP($F39,$F$19:$S$34,14,FALSE)</f>
        <v/>
      </c>
      <c r="T39" s="9">
        <f>SUM(H39,K39,N39,Q39)</f>
        <v/>
      </c>
      <c r="U39" s="9">
        <f>SUM(I39,L39,O39,R39)</f>
        <v/>
      </c>
      <c r="V39" s="9">
        <f>SUM(J39,M39,P39,S39)</f>
        <v/>
      </c>
      <c r="W39" s="3" t="n">
        <v>46082</v>
      </c>
      <c r="X39" s="3" t="n">
        <v>46112</v>
      </c>
      <c r="Y39" s="5" t="n"/>
      <c r="AA39" s="13" t="n">
        <v>46082</v>
      </c>
      <c r="AB39" s="13" t="n">
        <v>46112</v>
      </c>
      <c r="AC39" s="9" t="n"/>
      <c r="AD39" s="9">
        <f>T39-AA39</f>
        <v/>
      </c>
      <c r="AE39" s="9">
        <f>U39-AB39</f>
        <v/>
      </c>
      <c r="AF39" s="9">
        <f>V39-AC39</f>
        <v/>
      </c>
    </row>
    <row r="40">
      <c r="A40">
        <f>E40&amp;F40</f>
        <v/>
      </c>
      <c r="B40">
        <f>G40&amp;F40</f>
        <v/>
      </c>
      <c r="C40" s="4">
        <f>VLOOKUP(D40,Sheet1!$A$1:$B$4,2,FALSE)</f>
        <v/>
      </c>
      <c r="D40" s="4" t="inlineStr">
        <is>
          <t>ANTWERP</t>
        </is>
      </c>
      <c r="E40" s="4" t="inlineStr">
        <is>
          <t>ANTWERP</t>
        </is>
      </c>
      <c r="F40" s="4" t="inlineStr">
        <is>
          <t>SAVANNAH, GA</t>
        </is>
      </c>
      <c r="G40" s="4" t="inlineStr">
        <is>
          <t>CHARLOTTE, NC</t>
        </is>
      </c>
      <c r="H40" s="5">
        <f>VLOOKUP($A40,$A$5:$J$34,8,FALSE)</f>
        <v/>
      </c>
      <c r="I40" s="5">
        <f>VLOOKUP($A40,$A$5:$J$34,8,FALSE)</f>
        <v/>
      </c>
      <c r="J40" s="5">
        <f>VLOOKUP($A40,$A$5:$J$34,9,FALSE)</f>
        <v/>
      </c>
      <c r="K40" s="5">
        <f>VLOOKUP($B40,'US inland'!$A$7:$G$27,6,FALSE)</f>
        <v/>
      </c>
      <c r="L40" s="5">
        <f>VLOOKUP($B40,'US inland'!$A$7:$G$27,7,FALSE)</f>
        <v/>
      </c>
      <c r="M40" s="5">
        <f>VLOOKUP($B40,'US inland'!$A$7:$G$27,7,FALSE)</f>
        <v/>
      </c>
      <c r="N40" s="6">
        <f>VLOOKUP($F40,$F$19:$S$34,9,FALSE)</f>
        <v/>
      </c>
      <c r="O40" s="5">
        <f>VLOOKUP($F40,$F$19:$S$34,10,FALSE)</f>
        <v/>
      </c>
      <c r="P40" s="5">
        <f>VLOOKUP($F40,$F$19:$S$34,11,FALSE)</f>
        <v/>
      </c>
      <c r="Q40" s="5">
        <f>VLOOKUP($F40,$F$19:$S$34,12,FALSE)</f>
        <v/>
      </c>
      <c r="R40" s="5">
        <f>VLOOKUP($F40,$F$19:$S$34,13,FALSE)</f>
        <v/>
      </c>
      <c r="S40" s="5">
        <f>VLOOKUP($F40,$F$19:$S$34,14,FALSE)</f>
        <v/>
      </c>
      <c r="T40" s="9">
        <f>SUM(H40,K40,N40,Q40)</f>
        <v/>
      </c>
      <c r="U40" s="9">
        <f>SUM(I40,L40,O40,R40)</f>
        <v/>
      </c>
      <c r="V40" s="9">
        <f>SUM(J40,M40,P40,S40)</f>
        <v/>
      </c>
      <c r="W40" s="3" t="n">
        <v>46082</v>
      </c>
      <c r="X40" s="3" t="n">
        <v>46112</v>
      </c>
      <c r="Y40" s="5" t="n"/>
      <c r="AA40" s="13" t="n">
        <v>46082</v>
      </c>
      <c r="AB40" s="13" t="n">
        <v>46112</v>
      </c>
      <c r="AC40" s="9" t="n"/>
      <c r="AD40" s="9">
        <f>T40-AA40</f>
        <v/>
      </c>
      <c r="AE40" s="9">
        <f>U40-AB40</f>
        <v/>
      </c>
      <c r="AF40" s="9">
        <f>V40-AC40</f>
        <v/>
      </c>
    </row>
    <row r="41">
      <c r="A41">
        <f>E41&amp;F41</f>
        <v/>
      </c>
      <c r="B41">
        <f>G41&amp;F41</f>
        <v/>
      </c>
      <c r="C41" s="4">
        <f>VLOOKUP(D41,Sheet1!$A$1:$B$4,2,FALSE)</f>
        <v/>
      </c>
      <c r="D41" s="4" t="inlineStr">
        <is>
          <t>BREMERHAVEN</t>
        </is>
      </c>
      <c r="E41" s="4" t="inlineStr">
        <is>
          <t>BREMERHAVEN</t>
        </is>
      </c>
      <c r="F41" s="4" t="inlineStr">
        <is>
          <t>NEW YORK, NY</t>
        </is>
      </c>
      <c r="G41" s="4" t="inlineStr">
        <is>
          <t>CHICAGO, IL</t>
        </is>
      </c>
      <c r="H41" s="5">
        <f>VLOOKUP($A41,$A$5:$J$34,8,FALSE)</f>
        <v/>
      </c>
      <c r="I41" s="5">
        <f>VLOOKUP($A41,$A$5:$J$34,8,FALSE)</f>
        <v/>
      </c>
      <c r="J41" s="5">
        <f>VLOOKUP($A41,$A$5:$J$34,9,FALSE)</f>
        <v/>
      </c>
      <c r="K41" s="5">
        <f>VLOOKUP($B41,'US inland'!$A$7:$G$27,6,FALSE)</f>
        <v/>
      </c>
      <c r="L41" s="5">
        <f>VLOOKUP($B41,'US inland'!$A$7:$G$27,7,FALSE)</f>
        <v/>
      </c>
      <c r="M41" s="5">
        <f>VLOOKUP($B41,'US inland'!$A$7:$G$27,7,FALSE)</f>
        <v/>
      </c>
      <c r="N41" s="6">
        <f>VLOOKUP($F41,$F$19:$S$34,9,FALSE)</f>
        <v/>
      </c>
      <c r="O41" s="5">
        <f>VLOOKUP($F41,$F$19:$S$34,10,FALSE)</f>
        <v/>
      </c>
      <c r="P41" s="5">
        <f>VLOOKUP($F41,$F$19:$S$34,11,FALSE)</f>
        <v/>
      </c>
      <c r="Q41" s="5">
        <f>VLOOKUP($F41,$F$19:$S$34,12,FALSE)</f>
        <v/>
      </c>
      <c r="R41" s="5">
        <f>VLOOKUP($F41,$F$19:$S$34,13,FALSE)</f>
        <v/>
      </c>
      <c r="S41" s="5">
        <f>VLOOKUP($F41,$F$19:$S$34,14,FALSE)</f>
        <v/>
      </c>
      <c r="T41" s="9">
        <f>SUM(H41,K41,N41,Q41)</f>
        <v/>
      </c>
      <c r="U41" s="9">
        <f>SUM(I41,L41,O41,R41)</f>
        <v/>
      </c>
      <c r="V41" s="9">
        <f>SUM(J41,M41,P41,S41)</f>
        <v/>
      </c>
      <c r="W41" s="3" t="n">
        <v>46082</v>
      </c>
      <c r="X41" s="3" t="n">
        <v>46112</v>
      </c>
      <c r="Y41" s="5" t="n"/>
      <c r="AA41" s="13" t="n">
        <v>46082</v>
      </c>
      <c r="AB41" s="13" t="n">
        <v>46112</v>
      </c>
      <c r="AC41" s="9" t="n"/>
      <c r="AD41" s="9">
        <f>T41-AA41</f>
        <v/>
      </c>
      <c r="AE41" s="9">
        <f>U41-AB41</f>
        <v/>
      </c>
      <c r="AF41" s="9">
        <f>V41-AC41</f>
        <v/>
      </c>
    </row>
    <row r="42">
      <c r="A42">
        <f>E42&amp;F42</f>
        <v/>
      </c>
      <c r="B42">
        <f>G42&amp;F42</f>
        <v/>
      </c>
      <c r="C42" s="4">
        <f>VLOOKUP(D42,Sheet1!$A$1:$B$4,2,FALSE)</f>
        <v/>
      </c>
      <c r="D42" s="4" t="inlineStr">
        <is>
          <t>BREMERHAVEN</t>
        </is>
      </c>
      <c r="E42" s="4" t="inlineStr">
        <is>
          <t>BREMERHAVEN</t>
        </is>
      </c>
      <c r="F42" s="4" t="inlineStr">
        <is>
          <t>NEW YORK, NY</t>
        </is>
      </c>
      <c r="G42" s="4" t="inlineStr">
        <is>
          <t>CINCINNATI, OH</t>
        </is>
      </c>
      <c r="H42" s="5">
        <f>VLOOKUP($A42,$A$5:$J$34,8,FALSE)</f>
        <v/>
      </c>
      <c r="I42" s="5">
        <f>VLOOKUP($A42,$A$5:$J$34,8,FALSE)</f>
        <v/>
      </c>
      <c r="J42" s="5">
        <f>VLOOKUP($A42,$A$5:$J$34,9,FALSE)</f>
        <v/>
      </c>
      <c r="K42" s="5">
        <f>VLOOKUP($B42,'US inland'!$A$7:$G$27,6,FALSE)</f>
        <v/>
      </c>
      <c r="L42" s="5">
        <f>VLOOKUP($B42,'US inland'!$A$7:$G$27,7,FALSE)</f>
        <v/>
      </c>
      <c r="M42" s="5">
        <f>VLOOKUP($B42,'US inland'!$A$7:$G$27,7,FALSE)</f>
        <v/>
      </c>
      <c r="N42" s="6">
        <f>VLOOKUP($F42,$F$19:$S$34,9,FALSE)</f>
        <v/>
      </c>
      <c r="O42" s="5">
        <f>VLOOKUP($F42,$F$19:$S$34,10,FALSE)</f>
        <v/>
      </c>
      <c r="P42" s="5">
        <f>VLOOKUP($F42,$F$19:$S$34,11,FALSE)</f>
        <v/>
      </c>
      <c r="Q42" s="5">
        <f>VLOOKUP($F42,$F$19:$S$34,12,FALSE)</f>
        <v/>
      </c>
      <c r="R42" s="5">
        <f>VLOOKUP($F42,$F$19:$S$34,13,FALSE)</f>
        <v/>
      </c>
      <c r="S42" s="5">
        <f>VLOOKUP($F42,$F$19:$S$34,14,FALSE)</f>
        <v/>
      </c>
      <c r="T42" s="9">
        <f>SUM(H42,K42,N42,Q42)</f>
        <v/>
      </c>
      <c r="U42" s="9">
        <f>SUM(I42,L42,O42,R42)</f>
        <v/>
      </c>
      <c r="V42" s="9">
        <f>SUM(J42,M42,P42,S42)</f>
        <v/>
      </c>
      <c r="W42" s="3" t="n">
        <v>46082</v>
      </c>
      <c r="X42" s="3" t="n">
        <v>46112</v>
      </c>
      <c r="Y42" s="5" t="n"/>
      <c r="AA42" s="13" t="n">
        <v>46082</v>
      </c>
      <c r="AB42" s="13" t="n">
        <v>46112</v>
      </c>
      <c r="AC42" s="9" t="n"/>
      <c r="AD42" s="9">
        <f>T42-AA42</f>
        <v/>
      </c>
      <c r="AE42" s="9">
        <f>U42-AB42</f>
        <v/>
      </c>
      <c r="AF42" s="9">
        <f>V42-AC42</f>
        <v/>
      </c>
    </row>
    <row r="43">
      <c r="A43">
        <f>E43&amp;F43</f>
        <v/>
      </c>
      <c r="B43">
        <f>G43&amp;F43</f>
        <v/>
      </c>
      <c r="C43" s="4">
        <f>VLOOKUP(D43,Sheet1!$A$1:$B$4,2,FALSE)</f>
        <v/>
      </c>
      <c r="D43" s="4" t="inlineStr">
        <is>
          <t>BREMERHAVEN</t>
        </is>
      </c>
      <c r="E43" s="4" t="inlineStr">
        <is>
          <t>BREMERHAVEN</t>
        </is>
      </c>
      <c r="F43" s="4" t="inlineStr">
        <is>
          <t>NEW YORK, NY</t>
        </is>
      </c>
      <c r="G43" s="4" t="inlineStr">
        <is>
          <t>CLEVELAND, OH</t>
        </is>
      </c>
      <c r="H43" s="5">
        <f>VLOOKUP($A43,$A$5:$J$34,8,FALSE)</f>
        <v/>
      </c>
      <c r="I43" s="5">
        <f>VLOOKUP($A43,$A$5:$J$34,8,FALSE)</f>
        <v/>
      </c>
      <c r="J43" s="5">
        <f>VLOOKUP($A43,$A$5:$J$34,9,FALSE)</f>
        <v/>
      </c>
      <c r="K43" s="5">
        <f>VLOOKUP($B43,'US inland'!$A$7:$G$27,6,FALSE)</f>
        <v/>
      </c>
      <c r="L43" s="5">
        <f>VLOOKUP($B43,'US inland'!$A$7:$G$27,7,FALSE)</f>
        <v/>
      </c>
      <c r="M43" s="5">
        <f>VLOOKUP($B43,'US inland'!$A$7:$G$27,7,FALSE)</f>
        <v/>
      </c>
      <c r="N43" s="6">
        <f>VLOOKUP($F43,$F$19:$S$34,9,FALSE)</f>
        <v/>
      </c>
      <c r="O43" s="5">
        <f>VLOOKUP($F43,$F$19:$S$34,10,FALSE)</f>
        <v/>
      </c>
      <c r="P43" s="5">
        <f>VLOOKUP($F43,$F$19:$S$34,11,FALSE)</f>
        <v/>
      </c>
      <c r="Q43" s="5">
        <f>VLOOKUP($F43,$F$19:$S$34,12,FALSE)</f>
        <v/>
      </c>
      <c r="R43" s="5">
        <f>VLOOKUP($F43,$F$19:$S$34,13,FALSE)</f>
        <v/>
      </c>
      <c r="S43" s="5">
        <f>VLOOKUP($F43,$F$19:$S$34,14,FALSE)</f>
        <v/>
      </c>
      <c r="T43" s="9">
        <f>SUM(H43,K43,N43,Q43)</f>
        <v/>
      </c>
      <c r="U43" s="9">
        <f>SUM(I43,L43,O43,R43)</f>
        <v/>
      </c>
      <c r="V43" s="9">
        <f>SUM(J43,M43,P43,S43)</f>
        <v/>
      </c>
      <c r="W43" s="3" t="n">
        <v>46082</v>
      </c>
      <c r="X43" s="3" t="n">
        <v>46112</v>
      </c>
      <c r="Y43" s="5" t="n"/>
      <c r="AA43" s="13" t="n">
        <v>46082</v>
      </c>
      <c r="AB43" s="13" t="n">
        <v>46112</v>
      </c>
      <c r="AC43" s="9" t="n"/>
      <c r="AD43" s="9">
        <f>T43-AA43</f>
        <v/>
      </c>
      <c r="AE43" s="9">
        <f>U43-AB43</f>
        <v/>
      </c>
      <c r="AF43" s="9">
        <f>V43-AC43</f>
        <v/>
      </c>
    </row>
    <row r="44">
      <c r="A44">
        <f>E44&amp;F44</f>
        <v/>
      </c>
      <c r="B44">
        <f>G44&amp;F44</f>
        <v/>
      </c>
      <c r="C44" s="4">
        <f>VLOOKUP(D44,Sheet1!$A$1:$B$4,2,FALSE)</f>
        <v/>
      </c>
      <c r="D44" s="4" t="inlineStr">
        <is>
          <t>BREMERHAVEN</t>
        </is>
      </c>
      <c r="E44" s="4" t="inlineStr">
        <is>
          <t>BREMERHAVEN</t>
        </is>
      </c>
      <c r="F44" s="4" t="inlineStr">
        <is>
          <t>NEW YORK, NY</t>
        </is>
      </c>
      <c r="G44" s="4" t="inlineStr">
        <is>
          <t>COLUMBUS, OH</t>
        </is>
      </c>
      <c r="H44" s="5">
        <f>VLOOKUP($A44,$A$5:$J$34,8,FALSE)</f>
        <v/>
      </c>
      <c r="I44" s="5">
        <f>VLOOKUP($A44,$A$5:$J$34,8,FALSE)</f>
        <v/>
      </c>
      <c r="J44" s="5">
        <f>VLOOKUP($A44,$A$5:$J$34,9,FALSE)</f>
        <v/>
      </c>
      <c r="K44" s="5">
        <f>VLOOKUP($B44,'US inland'!$A$7:$G$27,6,FALSE)</f>
        <v/>
      </c>
      <c r="L44" s="5">
        <f>VLOOKUP($B44,'US inland'!$A$7:$G$27,7,FALSE)</f>
        <v/>
      </c>
      <c r="M44" s="5">
        <f>VLOOKUP($B44,'US inland'!$A$7:$G$27,7,FALSE)</f>
        <v/>
      </c>
      <c r="N44" s="6">
        <f>VLOOKUP($F44,$F$19:$S$34,9,FALSE)</f>
        <v/>
      </c>
      <c r="O44" s="5">
        <f>VLOOKUP($F44,$F$19:$S$34,10,FALSE)</f>
        <v/>
      </c>
      <c r="P44" s="5">
        <f>VLOOKUP($F44,$F$19:$S$34,11,FALSE)</f>
        <v/>
      </c>
      <c r="Q44" s="5">
        <f>VLOOKUP($F44,$F$19:$S$34,12,FALSE)</f>
        <v/>
      </c>
      <c r="R44" s="5">
        <f>VLOOKUP($F44,$F$19:$S$34,13,FALSE)</f>
        <v/>
      </c>
      <c r="S44" s="5">
        <f>VLOOKUP($F44,$F$19:$S$34,14,FALSE)</f>
        <v/>
      </c>
      <c r="T44" s="9">
        <f>SUM(H44,K44,N44,Q44)</f>
        <v/>
      </c>
      <c r="U44" s="9">
        <f>SUM(I44,L44,O44,R44)</f>
        <v/>
      </c>
      <c r="V44" s="9">
        <f>SUM(J44,M44,P44,S44)</f>
        <v/>
      </c>
      <c r="W44" s="3" t="n">
        <v>46082</v>
      </c>
      <c r="X44" s="3" t="n">
        <v>46112</v>
      </c>
      <c r="Y44" s="5" t="n"/>
      <c r="AA44" s="13" t="n">
        <v>46082</v>
      </c>
      <c r="AB44" s="13" t="n">
        <v>46112</v>
      </c>
      <c r="AC44" s="9" t="n"/>
      <c r="AD44" s="9">
        <f>T44-AA44</f>
        <v/>
      </c>
      <c r="AE44" s="9">
        <f>U44-AB44</f>
        <v/>
      </c>
      <c r="AF44" s="9">
        <f>V44-AC44</f>
        <v/>
      </c>
    </row>
    <row r="45">
      <c r="A45">
        <f>E45&amp;F45</f>
        <v/>
      </c>
      <c r="B45">
        <f>G45&amp;F45</f>
        <v/>
      </c>
      <c r="C45" s="4">
        <f>VLOOKUP(D45,Sheet1!$A$1:$B$4,2,FALSE)</f>
        <v/>
      </c>
      <c r="D45" s="4" t="inlineStr">
        <is>
          <t>ROTTERDAM</t>
        </is>
      </c>
      <c r="E45" s="4" t="inlineStr">
        <is>
          <t>ROTTERDAM</t>
        </is>
      </c>
      <c r="F45" s="4" t="inlineStr">
        <is>
          <t>NEW YORK, NY</t>
        </is>
      </c>
      <c r="G45" s="4" t="inlineStr">
        <is>
          <t>CHICAGO, IL</t>
        </is>
      </c>
      <c r="H45" s="5">
        <f>VLOOKUP($A45,$A$5:$J$34,8,FALSE)</f>
        <v/>
      </c>
      <c r="I45" s="5">
        <f>VLOOKUP($A45,$A$5:$J$34,8,FALSE)</f>
        <v/>
      </c>
      <c r="J45" s="5">
        <f>VLOOKUP($A45,$A$5:$J$34,9,FALSE)</f>
        <v/>
      </c>
      <c r="K45" s="5">
        <f>VLOOKUP($B45,'US inland'!$A$7:$G$27,6,FALSE)</f>
        <v/>
      </c>
      <c r="L45" s="5">
        <f>VLOOKUP($B45,'US inland'!$A$7:$G$27,7,FALSE)</f>
        <v/>
      </c>
      <c r="M45" s="5">
        <f>VLOOKUP($B45,'US inland'!$A$7:$G$27,7,FALSE)</f>
        <v/>
      </c>
      <c r="N45" s="6">
        <f>VLOOKUP($F45,$F$19:$S$34,9,FALSE)</f>
        <v/>
      </c>
      <c r="O45" s="5">
        <f>VLOOKUP($F45,$F$19:$S$34,10,FALSE)</f>
        <v/>
      </c>
      <c r="P45" s="5">
        <f>VLOOKUP($F45,$F$19:$S$34,11,FALSE)</f>
        <v/>
      </c>
      <c r="Q45" s="5">
        <f>VLOOKUP($F45,$F$19:$S$34,12,FALSE)</f>
        <v/>
      </c>
      <c r="R45" s="5">
        <f>VLOOKUP($F45,$F$19:$S$34,13,FALSE)</f>
        <v/>
      </c>
      <c r="S45" s="5">
        <f>VLOOKUP($F45,$F$19:$S$34,14,FALSE)</f>
        <v/>
      </c>
      <c r="T45" s="9">
        <f>SUM(H45,K45,N45,Q45)</f>
        <v/>
      </c>
      <c r="U45" s="9">
        <f>SUM(I45,L45,O45,R45)</f>
        <v/>
      </c>
      <c r="V45" s="9">
        <f>SUM(J45,M45,P45,S45)</f>
        <v/>
      </c>
      <c r="W45" s="3" t="n">
        <v>46082</v>
      </c>
      <c r="X45" s="3" t="n">
        <v>46112</v>
      </c>
      <c r="Y45" s="5" t="n"/>
      <c r="AA45" s="13" t="n">
        <v>46082</v>
      </c>
      <c r="AB45" s="13" t="n">
        <v>46112</v>
      </c>
      <c r="AC45" s="9" t="n"/>
      <c r="AD45" s="9">
        <f>T45-AA45</f>
        <v/>
      </c>
      <c r="AE45" s="9">
        <f>U45-AB45</f>
        <v/>
      </c>
      <c r="AF45" s="9">
        <f>V45-AC45</f>
        <v/>
      </c>
    </row>
    <row r="46">
      <c r="A46">
        <f>E46&amp;F46</f>
        <v/>
      </c>
      <c r="B46">
        <f>G46&amp;F46</f>
        <v/>
      </c>
      <c r="C46" s="4">
        <f>VLOOKUP(D46,Sheet1!$A$1:$B$4,2,FALSE)</f>
        <v/>
      </c>
      <c r="D46" s="4" t="inlineStr">
        <is>
          <t>ROTTERDAM</t>
        </is>
      </c>
      <c r="E46" s="4" t="inlineStr">
        <is>
          <t>ROTTERDAM</t>
        </is>
      </c>
      <c r="F46" s="4" t="inlineStr">
        <is>
          <t>NEW YORK, NY</t>
        </is>
      </c>
      <c r="G46" s="4" t="inlineStr">
        <is>
          <t>CINCINNATI, OH</t>
        </is>
      </c>
      <c r="H46" s="5">
        <f>VLOOKUP($A46,$A$5:$J$34,8,FALSE)</f>
        <v/>
      </c>
      <c r="I46" s="5">
        <f>VLOOKUP($A46,$A$5:$J$34,8,FALSE)</f>
        <v/>
      </c>
      <c r="J46" s="5">
        <f>VLOOKUP($A46,$A$5:$J$34,9,FALSE)</f>
        <v/>
      </c>
      <c r="K46" s="5">
        <f>VLOOKUP($B46,'US inland'!$A$7:$G$27,6,FALSE)</f>
        <v/>
      </c>
      <c r="L46" s="5">
        <f>VLOOKUP($B46,'US inland'!$A$7:$G$27,7,FALSE)</f>
        <v/>
      </c>
      <c r="M46" s="5">
        <f>VLOOKUP($B46,'US inland'!$A$7:$G$27,7,FALSE)</f>
        <v/>
      </c>
      <c r="N46" s="6">
        <f>VLOOKUP($F46,$F$19:$S$34,9,FALSE)</f>
        <v/>
      </c>
      <c r="O46" s="5">
        <f>VLOOKUP($F46,$F$19:$S$34,10,FALSE)</f>
        <v/>
      </c>
      <c r="P46" s="5">
        <f>VLOOKUP($F46,$F$19:$S$34,11,FALSE)</f>
        <v/>
      </c>
      <c r="Q46" s="5">
        <f>VLOOKUP($F46,$F$19:$S$34,12,FALSE)</f>
        <v/>
      </c>
      <c r="R46" s="5">
        <f>VLOOKUP($F46,$F$19:$S$34,13,FALSE)</f>
        <v/>
      </c>
      <c r="S46" s="5">
        <f>VLOOKUP($F46,$F$19:$S$34,14,FALSE)</f>
        <v/>
      </c>
      <c r="T46" s="9">
        <f>SUM(H46,K46,N46,Q46)</f>
        <v/>
      </c>
      <c r="U46" s="9">
        <f>SUM(I46,L46,O46,R46)</f>
        <v/>
      </c>
      <c r="V46" s="9">
        <f>SUM(J46,M46,P46,S46)</f>
        <v/>
      </c>
      <c r="W46" s="3" t="n">
        <v>46082</v>
      </c>
      <c r="X46" s="3" t="n">
        <v>46112</v>
      </c>
      <c r="Y46" s="5" t="n"/>
      <c r="AA46" s="13" t="n">
        <v>46082</v>
      </c>
      <c r="AB46" s="13" t="n">
        <v>46112</v>
      </c>
      <c r="AC46" s="9" t="n"/>
      <c r="AD46" s="9">
        <f>T46-AA46</f>
        <v/>
      </c>
      <c r="AE46" s="9">
        <f>U46-AB46</f>
        <v/>
      </c>
      <c r="AF46" s="9">
        <f>V46-AC46</f>
        <v/>
      </c>
    </row>
    <row r="47">
      <c r="A47">
        <f>E47&amp;F47</f>
        <v/>
      </c>
      <c r="B47">
        <f>G47&amp;F47</f>
        <v/>
      </c>
      <c r="C47" s="4">
        <f>VLOOKUP(D47,Sheet1!$A$1:$B$4,2,FALSE)</f>
        <v/>
      </c>
      <c r="D47" s="4" t="inlineStr">
        <is>
          <t>ROTTERDAM</t>
        </is>
      </c>
      <c r="E47" s="4" t="inlineStr">
        <is>
          <t>ROTTERDAM</t>
        </is>
      </c>
      <c r="F47" s="4" t="inlineStr">
        <is>
          <t>NEW YORK, NY</t>
        </is>
      </c>
      <c r="G47" s="4" t="inlineStr">
        <is>
          <t>CLEVELAND, OH</t>
        </is>
      </c>
      <c r="H47" s="5">
        <f>VLOOKUP($A47,$A$5:$J$34,8,FALSE)</f>
        <v/>
      </c>
      <c r="I47" s="5">
        <f>VLOOKUP($A47,$A$5:$J$34,8,FALSE)</f>
        <v/>
      </c>
      <c r="J47" s="5">
        <f>VLOOKUP($A47,$A$5:$J$34,9,FALSE)</f>
        <v/>
      </c>
      <c r="K47" s="5">
        <f>VLOOKUP($B47,'US inland'!$A$7:$G$27,6,FALSE)</f>
        <v/>
      </c>
      <c r="L47" s="5">
        <f>VLOOKUP($B47,'US inland'!$A$7:$G$27,7,FALSE)</f>
        <v/>
      </c>
      <c r="M47" s="5">
        <f>VLOOKUP($B47,'US inland'!$A$7:$G$27,7,FALSE)</f>
        <v/>
      </c>
      <c r="N47" s="6">
        <f>VLOOKUP($F47,$F$19:$S$34,9,FALSE)</f>
        <v/>
      </c>
      <c r="O47" s="5">
        <f>VLOOKUP($F47,$F$19:$S$34,10,FALSE)</f>
        <v/>
      </c>
      <c r="P47" s="5">
        <f>VLOOKUP($F47,$F$19:$S$34,11,FALSE)</f>
        <v/>
      </c>
      <c r="Q47" s="5">
        <f>VLOOKUP($F47,$F$19:$S$34,12,FALSE)</f>
        <v/>
      </c>
      <c r="R47" s="5">
        <f>VLOOKUP($F47,$F$19:$S$34,13,FALSE)</f>
        <v/>
      </c>
      <c r="S47" s="5">
        <f>VLOOKUP($F47,$F$19:$S$34,14,FALSE)</f>
        <v/>
      </c>
      <c r="T47" s="9">
        <f>SUM(H47,K47,N47,Q47)</f>
        <v/>
      </c>
      <c r="U47" s="9">
        <f>SUM(I47,L47,O47,R47)</f>
        <v/>
      </c>
      <c r="V47" s="9">
        <f>SUM(J47,M47,P47,S47)</f>
        <v/>
      </c>
      <c r="W47" s="3" t="n">
        <v>46082</v>
      </c>
      <c r="X47" s="3" t="n">
        <v>46112</v>
      </c>
      <c r="Y47" s="5" t="n"/>
      <c r="AA47" s="13" t="n">
        <v>46082</v>
      </c>
      <c r="AB47" s="13" t="n">
        <v>46112</v>
      </c>
      <c r="AC47" s="9" t="n"/>
      <c r="AD47" s="9">
        <f>T47-AA47</f>
        <v/>
      </c>
      <c r="AE47" s="9">
        <f>U47-AB47</f>
        <v/>
      </c>
      <c r="AF47" s="9">
        <f>V47-AC47</f>
        <v/>
      </c>
    </row>
    <row r="48">
      <c r="A48">
        <f>E48&amp;F48</f>
        <v/>
      </c>
      <c r="B48">
        <f>G48&amp;F48</f>
        <v/>
      </c>
      <c r="C48" s="4">
        <f>VLOOKUP(D48,Sheet1!$A$1:$B$4,2,FALSE)</f>
        <v/>
      </c>
      <c r="D48" s="4" t="inlineStr">
        <is>
          <t>ROTTERDAM</t>
        </is>
      </c>
      <c r="E48" s="4" t="inlineStr">
        <is>
          <t>ROTTERDAM</t>
        </is>
      </c>
      <c r="F48" s="4" t="inlineStr">
        <is>
          <t>NEW YORK, NY</t>
        </is>
      </c>
      <c r="G48" s="4" t="inlineStr">
        <is>
          <t>COLUMBUS, OH</t>
        </is>
      </c>
      <c r="H48" s="5">
        <f>VLOOKUP($A48,$A$5:$J$34,8,FALSE)</f>
        <v/>
      </c>
      <c r="I48" s="5">
        <f>VLOOKUP($A48,$A$5:$J$34,8,FALSE)</f>
        <v/>
      </c>
      <c r="J48" s="5">
        <f>VLOOKUP($A48,$A$5:$J$34,9,FALSE)</f>
        <v/>
      </c>
      <c r="K48" s="5">
        <f>VLOOKUP($B48,'US inland'!$A$7:$G$27,6,FALSE)</f>
        <v/>
      </c>
      <c r="L48" s="5">
        <f>VLOOKUP($B48,'US inland'!$A$7:$G$27,7,FALSE)</f>
        <v/>
      </c>
      <c r="M48" s="5">
        <f>VLOOKUP($B48,'US inland'!$A$7:$G$27,7,FALSE)</f>
        <v/>
      </c>
      <c r="N48" s="6">
        <f>VLOOKUP($F48,$F$19:$S$34,9,FALSE)</f>
        <v/>
      </c>
      <c r="O48" s="5">
        <f>VLOOKUP($F48,$F$19:$S$34,10,FALSE)</f>
        <v/>
      </c>
      <c r="P48" s="5">
        <f>VLOOKUP($F48,$F$19:$S$34,11,FALSE)</f>
        <v/>
      </c>
      <c r="Q48" s="5">
        <f>VLOOKUP($F48,$F$19:$S$34,12,FALSE)</f>
        <v/>
      </c>
      <c r="R48" s="5">
        <f>VLOOKUP($F48,$F$19:$S$34,13,FALSE)</f>
        <v/>
      </c>
      <c r="S48" s="5">
        <f>VLOOKUP($F48,$F$19:$S$34,14,FALSE)</f>
        <v/>
      </c>
      <c r="T48" s="9">
        <f>SUM(H48,K48,N48,Q48)</f>
        <v/>
      </c>
      <c r="U48" s="9">
        <f>SUM(I48,L48,O48,R48)</f>
        <v/>
      </c>
      <c r="V48" s="9">
        <f>SUM(J48,M48,P48,S48)</f>
        <v/>
      </c>
      <c r="W48" s="3" t="n">
        <v>46082</v>
      </c>
      <c r="X48" s="3" t="n">
        <v>46112</v>
      </c>
      <c r="Y48" s="5" t="n"/>
      <c r="AA48" s="13" t="n">
        <v>46082</v>
      </c>
      <c r="AB48" s="13" t="n">
        <v>46112</v>
      </c>
      <c r="AC48" s="9" t="n"/>
      <c r="AD48" s="9">
        <f>T48-AA48</f>
        <v/>
      </c>
      <c r="AE48" s="9">
        <f>U48-AB48</f>
        <v/>
      </c>
      <c r="AF48" s="9">
        <f>V48-AC48</f>
        <v/>
      </c>
    </row>
    <row r="49">
      <c r="A49">
        <f>E49&amp;F49</f>
        <v/>
      </c>
      <c r="B49">
        <f>G49&amp;F49</f>
        <v/>
      </c>
      <c r="C49" s="4">
        <f>VLOOKUP(D49,Sheet1!$A$1:$B$4,2,FALSE)</f>
        <v/>
      </c>
      <c r="D49" s="4" t="inlineStr">
        <is>
          <t>ANTWERP</t>
        </is>
      </c>
      <c r="E49" s="4" t="inlineStr">
        <is>
          <t>ANTWERP</t>
        </is>
      </c>
      <c r="F49" s="4" t="inlineStr">
        <is>
          <t>NEW YORK, NY</t>
        </is>
      </c>
      <c r="G49" s="4" t="inlineStr">
        <is>
          <t>CHICAGO, IL</t>
        </is>
      </c>
      <c r="H49" s="5">
        <f>VLOOKUP($A49,$A$5:$J$34,8,FALSE)</f>
        <v/>
      </c>
      <c r="I49" s="5">
        <f>VLOOKUP($A49,$A$5:$J$34,8,FALSE)</f>
        <v/>
      </c>
      <c r="J49" s="5">
        <f>VLOOKUP($A49,$A$5:$J$34,9,FALSE)</f>
        <v/>
      </c>
      <c r="K49" s="5">
        <f>VLOOKUP($B49,'US inland'!$A$7:$G$27,6,FALSE)</f>
        <v/>
      </c>
      <c r="L49" s="5">
        <f>VLOOKUP($B49,'US inland'!$A$7:$G$27,7,FALSE)</f>
        <v/>
      </c>
      <c r="M49" s="5">
        <f>VLOOKUP($B49,'US inland'!$A$7:$G$27,7,FALSE)</f>
        <v/>
      </c>
      <c r="N49" s="6">
        <f>VLOOKUP($F49,$F$19:$S$34,9,FALSE)</f>
        <v/>
      </c>
      <c r="O49" s="5">
        <f>VLOOKUP($F49,$F$19:$S$34,10,FALSE)</f>
        <v/>
      </c>
      <c r="P49" s="5">
        <f>VLOOKUP($F49,$F$19:$S$34,11,FALSE)</f>
        <v/>
      </c>
      <c r="Q49" s="5">
        <f>VLOOKUP($F49,$F$19:$S$34,12,FALSE)</f>
        <v/>
      </c>
      <c r="R49" s="5">
        <f>VLOOKUP($F49,$F$19:$S$34,13,FALSE)</f>
        <v/>
      </c>
      <c r="S49" s="5">
        <f>VLOOKUP($F49,$F$19:$S$34,14,FALSE)</f>
        <v/>
      </c>
      <c r="T49" s="9">
        <f>SUM(H49,K49,N49,Q49)</f>
        <v/>
      </c>
      <c r="U49" s="9">
        <f>SUM(I49,L49,O49,R49)</f>
        <v/>
      </c>
      <c r="V49" s="9">
        <f>SUM(J49,M49,P49,S49)</f>
        <v/>
      </c>
      <c r="W49" s="3" t="n">
        <v>46082</v>
      </c>
      <c r="X49" s="3" t="n">
        <v>46112</v>
      </c>
      <c r="Y49" s="5" t="n"/>
      <c r="AA49" s="13" t="n">
        <v>46082</v>
      </c>
      <c r="AB49" s="13" t="n">
        <v>46112</v>
      </c>
      <c r="AC49" s="9" t="n"/>
      <c r="AD49" s="9">
        <f>T49-AA49</f>
        <v/>
      </c>
      <c r="AE49" s="9">
        <f>U49-AB49</f>
        <v/>
      </c>
      <c r="AF49" s="9">
        <f>V49-AC49</f>
        <v/>
      </c>
    </row>
    <row r="50">
      <c r="A50">
        <f>E50&amp;F50</f>
        <v/>
      </c>
      <c r="B50">
        <f>G50&amp;F50</f>
        <v/>
      </c>
      <c r="C50" s="4">
        <f>VLOOKUP(D50,Sheet1!$A$1:$B$4,2,FALSE)</f>
        <v/>
      </c>
      <c r="D50" s="4" t="inlineStr">
        <is>
          <t>ANTWERP</t>
        </is>
      </c>
      <c r="E50" s="4" t="inlineStr">
        <is>
          <t>ANTWERP</t>
        </is>
      </c>
      <c r="F50" s="4" t="inlineStr">
        <is>
          <t>NEW YORK, NY</t>
        </is>
      </c>
      <c r="G50" s="4" t="inlineStr">
        <is>
          <t>CINCINNATI, OH</t>
        </is>
      </c>
      <c r="H50" s="5">
        <f>VLOOKUP($A50,$A$5:$J$34,8,FALSE)</f>
        <v/>
      </c>
      <c r="I50" s="5">
        <f>VLOOKUP($A50,$A$5:$J$34,8,FALSE)</f>
        <v/>
      </c>
      <c r="J50" s="5">
        <f>VLOOKUP($A50,$A$5:$J$34,9,FALSE)</f>
        <v/>
      </c>
      <c r="K50" s="5">
        <f>VLOOKUP($B50,'US inland'!$A$7:$G$27,6,FALSE)</f>
        <v/>
      </c>
      <c r="L50" s="5">
        <f>VLOOKUP($B50,'US inland'!$A$7:$G$27,7,FALSE)</f>
        <v/>
      </c>
      <c r="M50" s="5">
        <f>VLOOKUP($B50,'US inland'!$A$7:$G$27,7,FALSE)</f>
        <v/>
      </c>
      <c r="N50" s="6">
        <f>VLOOKUP($F50,$F$19:$S$34,9,FALSE)</f>
        <v/>
      </c>
      <c r="O50" s="5">
        <f>VLOOKUP($F50,$F$19:$S$34,10,FALSE)</f>
        <v/>
      </c>
      <c r="P50" s="5">
        <f>VLOOKUP($F50,$F$19:$S$34,11,FALSE)</f>
        <v/>
      </c>
      <c r="Q50" s="5">
        <f>VLOOKUP($F50,$F$19:$S$34,12,FALSE)</f>
        <v/>
      </c>
      <c r="R50" s="5">
        <f>VLOOKUP($F50,$F$19:$S$34,13,FALSE)</f>
        <v/>
      </c>
      <c r="S50" s="5">
        <f>VLOOKUP($F50,$F$19:$S$34,14,FALSE)</f>
        <v/>
      </c>
      <c r="T50" s="9">
        <f>SUM(H50,K50,N50,Q50)</f>
        <v/>
      </c>
      <c r="U50" s="9">
        <f>SUM(I50,L50,O50,R50)</f>
        <v/>
      </c>
      <c r="V50" s="9">
        <f>SUM(J50,M50,P50,S50)</f>
        <v/>
      </c>
      <c r="W50" s="3" t="n">
        <v>46082</v>
      </c>
      <c r="X50" s="3" t="n">
        <v>46112</v>
      </c>
      <c r="Y50" s="5" t="n"/>
      <c r="AA50" s="13" t="n">
        <v>46082</v>
      </c>
      <c r="AB50" s="13" t="n">
        <v>46112</v>
      </c>
      <c r="AC50" s="9" t="n"/>
      <c r="AD50" s="9">
        <f>T50-AA50</f>
        <v/>
      </c>
      <c r="AE50" s="9">
        <f>U50-AB50</f>
        <v/>
      </c>
      <c r="AF50" s="9">
        <f>V50-AC50</f>
        <v/>
      </c>
    </row>
    <row r="51">
      <c r="A51">
        <f>E51&amp;F51</f>
        <v/>
      </c>
      <c r="B51">
        <f>G51&amp;F51</f>
        <v/>
      </c>
      <c r="C51" s="4">
        <f>VLOOKUP(D51,Sheet1!$A$1:$B$4,2,FALSE)</f>
        <v/>
      </c>
      <c r="D51" s="4" t="inlineStr">
        <is>
          <t>ANTWERP</t>
        </is>
      </c>
      <c r="E51" s="4" t="inlineStr">
        <is>
          <t>ANTWERP</t>
        </is>
      </c>
      <c r="F51" s="4" t="inlineStr">
        <is>
          <t>NEW YORK, NY</t>
        </is>
      </c>
      <c r="G51" s="4" t="inlineStr">
        <is>
          <t>CLEVELAND, OH</t>
        </is>
      </c>
      <c r="H51" s="5">
        <f>VLOOKUP($A51,$A$5:$J$34,8,FALSE)</f>
        <v/>
      </c>
      <c r="I51" s="5">
        <f>VLOOKUP($A51,$A$5:$J$34,8,FALSE)</f>
        <v/>
      </c>
      <c r="J51" s="5">
        <f>VLOOKUP($A51,$A$5:$J$34,9,FALSE)</f>
        <v/>
      </c>
      <c r="K51" s="5">
        <f>VLOOKUP($B51,'US inland'!$A$7:$G$27,6,FALSE)</f>
        <v/>
      </c>
      <c r="L51" s="5">
        <f>VLOOKUP($B51,'US inland'!$A$7:$G$27,7,FALSE)</f>
        <v/>
      </c>
      <c r="M51" s="5">
        <f>VLOOKUP($B51,'US inland'!$A$7:$G$27,7,FALSE)</f>
        <v/>
      </c>
      <c r="N51" s="6">
        <f>VLOOKUP($F51,$F$19:$S$34,9,FALSE)</f>
        <v/>
      </c>
      <c r="O51" s="5">
        <f>VLOOKUP($F51,$F$19:$S$34,10,FALSE)</f>
        <v/>
      </c>
      <c r="P51" s="5">
        <f>VLOOKUP($F51,$F$19:$S$34,11,FALSE)</f>
        <v/>
      </c>
      <c r="Q51" s="5">
        <f>VLOOKUP($F51,$F$19:$S$34,12,FALSE)</f>
        <v/>
      </c>
      <c r="R51" s="5">
        <f>VLOOKUP($F51,$F$19:$S$34,13,FALSE)</f>
        <v/>
      </c>
      <c r="S51" s="5">
        <f>VLOOKUP($F51,$F$19:$S$34,14,FALSE)</f>
        <v/>
      </c>
      <c r="T51" s="9">
        <f>SUM(H51,K51,N51,Q51)</f>
        <v/>
      </c>
      <c r="U51" s="9">
        <f>SUM(I51,L51,O51,R51)</f>
        <v/>
      </c>
      <c r="V51" s="9">
        <f>SUM(J51,M51,P51,S51)</f>
        <v/>
      </c>
      <c r="W51" s="3" t="n">
        <v>46082</v>
      </c>
      <c r="X51" s="3" t="n">
        <v>46112</v>
      </c>
      <c r="Y51" s="5" t="n"/>
      <c r="AA51" s="13" t="n">
        <v>46082</v>
      </c>
      <c r="AB51" s="13" t="n">
        <v>46112</v>
      </c>
      <c r="AC51" s="9" t="n"/>
      <c r="AD51" s="9">
        <f>T51-AA51</f>
        <v/>
      </c>
      <c r="AE51" s="9">
        <f>U51-AB51</f>
        <v/>
      </c>
      <c r="AF51" s="9">
        <f>V51-AC51</f>
        <v/>
      </c>
    </row>
    <row r="52">
      <c r="A52">
        <f>E52&amp;F52</f>
        <v/>
      </c>
      <c r="B52">
        <f>G52&amp;F52</f>
        <v/>
      </c>
      <c r="C52" s="4">
        <f>VLOOKUP(D52,Sheet1!$A$1:$B$4,2,FALSE)</f>
        <v/>
      </c>
      <c r="D52" s="4" t="inlineStr">
        <is>
          <t>ANTWERP</t>
        </is>
      </c>
      <c r="E52" s="4" t="inlineStr">
        <is>
          <t>ANTWERP</t>
        </is>
      </c>
      <c r="F52" s="4" t="inlineStr">
        <is>
          <t>NEW YORK, NY</t>
        </is>
      </c>
      <c r="G52" s="4" t="inlineStr">
        <is>
          <t>COLUMBUS, OH</t>
        </is>
      </c>
      <c r="H52" s="5">
        <f>VLOOKUP($A52,$A$5:$J$34,8,FALSE)</f>
        <v/>
      </c>
      <c r="I52" s="5">
        <f>VLOOKUP($A52,$A$5:$J$34,8,FALSE)</f>
        <v/>
      </c>
      <c r="J52" s="5">
        <f>VLOOKUP($A52,$A$5:$J$34,9,FALSE)</f>
        <v/>
      </c>
      <c r="K52" s="5">
        <f>VLOOKUP($B52,'US inland'!$A$7:$G$27,6,FALSE)</f>
        <v/>
      </c>
      <c r="L52" s="5">
        <f>VLOOKUP($B52,'US inland'!$A$7:$G$27,7,FALSE)</f>
        <v/>
      </c>
      <c r="M52" s="5">
        <f>VLOOKUP($B52,'US inland'!$A$7:$G$27,7,FALSE)</f>
        <v/>
      </c>
      <c r="N52" s="6">
        <f>VLOOKUP($F52,$F$19:$S$34,9,FALSE)</f>
        <v/>
      </c>
      <c r="O52" s="5">
        <f>VLOOKUP($F52,$F$19:$S$34,10,FALSE)</f>
        <v/>
      </c>
      <c r="P52" s="5">
        <f>VLOOKUP($F52,$F$19:$S$34,11,FALSE)</f>
        <v/>
      </c>
      <c r="Q52" s="5">
        <f>VLOOKUP($F52,$F$19:$S$34,12,FALSE)</f>
        <v/>
      </c>
      <c r="R52" s="5">
        <f>VLOOKUP($F52,$F$19:$S$34,13,FALSE)</f>
        <v/>
      </c>
      <c r="S52" s="5">
        <f>VLOOKUP($F52,$F$19:$S$34,14,FALSE)</f>
        <v/>
      </c>
      <c r="T52" s="9">
        <f>SUM(H52,K52,N52,Q52)</f>
        <v/>
      </c>
      <c r="U52" s="9">
        <f>SUM(I52,L52,O52,R52)</f>
        <v/>
      </c>
      <c r="V52" s="9">
        <f>SUM(J52,M52,P52,S52)</f>
        <v/>
      </c>
      <c r="W52" s="3" t="n">
        <v>46082</v>
      </c>
      <c r="X52" s="3" t="n">
        <v>46112</v>
      </c>
      <c r="Y52" s="5" t="n"/>
      <c r="AA52" s="13" t="n">
        <v>46082</v>
      </c>
      <c r="AB52" s="13" t="n">
        <v>46112</v>
      </c>
      <c r="AC52" s="9" t="n"/>
      <c r="AD52" s="9">
        <f>T52-AA52</f>
        <v/>
      </c>
      <c r="AE52" s="9">
        <f>U52-AB52</f>
        <v/>
      </c>
      <c r="AF52" s="9">
        <f>V52-AC52</f>
        <v/>
      </c>
    </row>
    <row r="53">
      <c r="A53">
        <f>E53&amp;F53</f>
        <v/>
      </c>
      <c r="B53">
        <f>G53&amp;F53</f>
        <v/>
      </c>
      <c r="C53" s="4">
        <f>VLOOKUP(D53,Sheet1!$A$1:$B$4,2,FALSE)</f>
        <v/>
      </c>
      <c r="D53" s="4" t="inlineStr">
        <is>
          <t>BREMERHAVEN</t>
        </is>
      </c>
      <c r="E53" s="4" t="inlineStr">
        <is>
          <t>BREMERHAVEN</t>
        </is>
      </c>
      <c r="F53" s="4" t="inlineStr">
        <is>
          <t>SAVANNAH, GA</t>
        </is>
      </c>
      <c r="G53" s="4" t="inlineStr">
        <is>
          <t>DALLAS, TX</t>
        </is>
      </c>
      <c r="H53" s="5">
        <f>VLOOKUP($A53,$A$5:$J$34,8,FALSE)</f>
        <v/>
      </c>
      <c r="I53" s="5">
        <f>VLOOKUP($A53,$A$5:$J$34,8,FALSE)</f>
        <v/>
      </c>
      <c r="J53" s="5">
        <f>VLOOKUP($A53,$A$5:$J$34,9,FALSE)</f>
        <v/>
      </c>
      <c r="K53" s="5">
        <f>VLOOKUP($B53,'US inland'!$A$7:$G$27,6,FALSE)</f>
        <v/>
      </c>
      <c r="L53" s="5">
        <f>VLOOKUP($B53,'US inland'!$A$7:$G$27,7,FALSE)</f>
        <v/>
      </c>
      <c r="M53" s="5">
        <f>VLOOKUP($B53,'US inland'!$A$7:$G$27,7,FALSE)</f>
        <v/>
      </c>
      <c r="N53" s="6">
        <f>VLOOKUP($F53,$F$19:$S$34,9,FALSE)</f>
        <v/>
      </c>
      <c r="O53" s="5">
        <f>VLOOKUP($F53,$F$19:$S$34,10,FALSE)</f>
        <v/>
      </c>
      <c r="P53" s="5">
        <f>VLOOKUP($F53,$F$19:$S$34,11,FALSE)</f>
        <v/>
      </c>
      <c r="Q53" s="5">
        <f>VLOOKUP($F53,$F$19:$S$34,12,FALSE)</f>
        <v/>
      </c>
      <c r="R53" s="5">
        <f>VLOOKUP($F53,$F$19:$S$34,13,FALSE)</f>
        <v/>
      </c>
      <c r="S53" s="5">
        <f>VLOOKUP($F53,$F$19:$S$34,14,FALSE)</f>
        <v/>
      </c>
      <c r="T53" s="9">
        <f>SUM(H53,K53,N53,Q53)</f>
        <v/>
      </c>
      <c r="U53" s="9">
        <f>SUM(I53,L53,O53,R53)</f>
        <v/>
      </c>
      <c r="V53" s="9">
        <f>SUM(J53,M53,P53,S53)</f>
        <v/>
      </c>
      <c r="W53" s="3" t="n">
        <v>46082</v>
      </c>
      <c r="X53" s="3" t="n">
        <v>46112</v>
      </c>
      <c r="Y53" s="5" t="n"/>
      <c r="AA53" s="13" t="n">
        <v>46082</v>
      </c>
      <c r="AB53" s="13" t="n">
        <v>46112</v>
      </c>
      <c r="AC53" s="9" t="n"/>
      <c r="AD53" s="9">
        <f>T53-AA53</f>
        <v/>
      </c>
      <c r="AE53" s="9">
        <f>U53-AB53</f>
        <v/>
      </c>
      <c r="AF53" s="9">
        <f>V53-AC53</f>
        <v/>
      </c>
    </row>
    <row r="54">
      <c r="A54">
        <f>E54&amp;F54</f>
        <v/>
      </c>
      <c r="B54">
        <f>G54&amp;F54</f>
        <v/>
      </c>
      <c r="C54" s="4">
        <f>VLOOKUP(D54,Sheet1!$A$1:$B$4,2,FALSE)</f>
        <v/>
      </c>
      <c r="D54" s="4" t="inlineStr">
        <is>
          <t>ROTTERDAM</t>
        </is>
      </c>
      <c r="E54" s="4" t="inlineStr">
        <is>
          <t>ROTTERDAM</t>
        </is>
      </c>
      <c r="F54" s="4" t="inlineStr">
        <is>
          <t>SAVANNAH, GA</t>
        </is>
      </c>
      <c r="G54" s="4" t="inlineStr">
        <is>
          <t>DALLAS, TX</t>
        </is>
      </c>
      <c r="H54" s="5">
        <f>VLOOKUP($A54,$A$5:$J$34,8,FALSE)</f>
        <v/>
      </c>
      <c r="I54" s="5">
        <f>VLOOKUP($A54,$A$5:$J$34,8,FALSE)</f>
        <v/>
      </c>
      <c r="J54" s="5">
        <f>VLOOKUP($A54,$A$5:$J$34,9,FALSE)</f>
        <v/>
      </c>
      <c r="K54" s="5">
        <f>VLOOKUP($B54,'US inland'!$A$7:$G$27,6,FALSE)</f>
        <v/>
      </c>
      <c r="L54" s="5">
        <f>VLOOKUP($B54,'US inland'!$A$7:$G$27,7,FALSE)</f>
        <v/>
      </c>
      <c r="M54" s="5">
        <f>VLOOKUP($B54,'US inland'!$A$7:$G$27,7,FALSE)</f>
        <v/>
      </c>
      <c r="N54" s="6">
        <f>VLOOKUP($F54,$F$19:$S$34,9,FALSE)</f>
        <v/>
      </c>
      <c r="O54" s="5">
        <f>VLOOKUP($F54,$F$19:$S$34,10,FALSE)</f>
        <v/>
      </c>
      <c r="P54" s="5">
        <f>VLOOKUP($F54,$F$19:$S$34,11,FALSE)</f>
        <v/>
      </c>
      <c r="Q54" s="5">
        <f>VLOOKUP($F54,$F$19:$S$34,12,FALSE)</f>
        <v/>
      </c>
      <c r="R54" s="5">
        <f>VLOOKUP($F54,$F$19:$S$34,13,FALSE)</f>
        <v/>
      </c>
      <c r="S54" s="5">
        <f>VLOOKUP($F54,$F$19:$S$34,14,FALSE)</f>
        <v/>
      </c>
      <c r="T54" s="9">
        <f>SUM(H54,K54,N54,Q54)</f>
        <v/>
      </c>
      <c r="U54" s="9">
        <f>SUM(I54,L54,O54,R54)</f>
        <v/>
      </c>
      <c r="V54" s="9">
        <f>SUM(J54,M54,P54,S54)</f>
        <v/>
      </c>
      <c r="W54" s="3" t="n">
        <v>46082</v>
      </c>
      <c r="X54" s="3" t="n">
        <v>46112</v>
      </c>
      <c r="Y54" s="5" t="n"/>
      <c r="AA54" s="13" t="n">
        <v>46082</v>
      </c>
      <c r="AB54" s="13" t="n">
        <v>46112</v>
      </c>
      <c r="AC54" s="9" t="n"/>
      <c r="AD54" s="9">
        <f>T54-AA54</f>
        <v/>
      </c>
      <c r="AE54" s="9">
        <f>U54-AB54</f>
        <v/>
      </c>
      <c r="AF54" s="9">
        <f>V54-AC54</f>
        <v/>
      </c>
    </row>
    <row r="55">
      <c r="A55">
        <f>E55&amp;F55</f>
        <v/>
      </c>
      <c r="B55">
        <f>G55&amp;F55</f>
        <v/>
      </c>
      <c r="C55" s="4">
        <f>VLOOKUP(D55,Sheet1!$A$1:$B$4,2,FALSE)</f>
        <v/>
      </c>
      <c r="D55" s="4" t="inlineStr">
        <is>
          <t>ANTWERP</t>
        </is>
      </c>
      <c r="E55" s="4" t="inlineStr">
        <is>
          <t>ANTWERP</t>
        </is>
      </c>
      <c r="F55" s="4" t="inlineStr">
        <is>
          <t>SAVANNAH, GA</t>
        </is>
      </c>
      <c r="G55" s="4" t="inlineStr">
        <is>
          <t>DALLAS, TX</t>
        </is>
      </c>
      <c r="H55" s="5">
        <f>VLOOKUP($A55,$A$5:$J$34,8,FALSE)</f>
        <v/>
      </c>
      <c r="I55" s="5">
        <f>VLOOKUP($A55,$A$5:$J$34,8,FALSE)</f>
        <v/>
      </c>
      <c r="J55" s="5">
        <f>VLOOKUP($A55,$A$5:$J$34,9,FALSE)</f>
        <v/>
      </c>
      <c r="K55" s="5">
        <f>VLOOKUP($B55,'US inland'!$A$7:$G$27,6,FALSE)</f>
        <v/>
      </c>
      <c r="L55" s="5">
        <f>VLOOKUP($B55,'US inland'!$A$7:$G$27,7,FALSE)</f>
        <v/>
      </c>
      <c r="M55" s="5">
        <f>VLOOKUP($B55,'US inland'!$A$7:$G$27,7,FALSE)</f>
        <v/>
      </c>
      <c r="N55" s="6">
        <f>VLOOKUP($F55,$F$19:$S$34,9,FALSE)</f>
        <v/>
      </c>
      <c r="O55" s="5">
        <f>VLOOKUP($F55,$F$19:$S$34,10,FALSE)</f>
        <v/>
      </c>
      <c r="P55" s="5">
        <f>VLOOKUP($F55,$F$19:$S$34,11,FALSE)</f>
        <v/>
      </c>
      <c r="Q55" s="5">
        <f>VLOOKUP($F55,$F$19:$S$34,12,FALSE)</f>
        <v/>
      </c>
      <c r="R55" s="5">
        <f>VLOOKUP($F55,$F$19:$S$34,13,FALSE)</f>
        <v/>
      </c>
      <c r="S55" s="5">
        <f>VLOOKUP($F55,$F$19:$S$34,14,FALSE)</f>
        <v/>
      </c>
      <c r="T55" s="9">
        <f>SUM(H55,K55,N55,Q55)</f>
        <v/>
      </c>
      <c r="U55" s="9">
        <f>SUM(I55,L55,O55,R55)</f>
        <v/>
      </c>
      <c r="V55" s="9">
        <f>SUM(J55,M55,P55,S55)</f>
        <v/>
      </c>
      <c r="W55" s="3" t="n">
        <v>46082</v>
      </c>
      <c r="X55" s="3" t="n">
        <v>46112</v>
      </c>
      <c r="Y55" s="5" t="n"/>
      <c r="AA55" s="13" t="n">
        <v>46082</v>
      </c>
      <c r="AB55" s="13" t="n">
        <v>46112</v>
      </c>
      <c r="AC55" s="9" t="n"/>
      <c r="AD55" s="9">
        <f>T55-AA55</f>
        <v/>
      </c>
      <c r="AE55" s="9">
        <f>U55-AB55</f>
        <v/>
      </c>
      <c r="AF55" s="9">
        <f>V55-AC55</f>
        <v/>
      </c>
    </row>
    <row r="56">
      <c r="A56">
        <f>E56&amp;F56</f>
        <v/>
      </c>
      <c r="B56">
        <f>G56&amp;F56</f>
        <v/>
      </c>
      <c r="C56" s="4">
        <f>VLOOKUP(D56,Sheet1!$A$1:$B$4,2,FALSE)</f>
        <v/>
      </c>
      <c r="D56" s="4" t="inlineStr">
        <is>
          <t>HAMBURG</t>
        </is>
      </c>
      <c r="E56" s="4" t="inlineStr">
        <is>
          <t>HAMBURG</t>
        </is>
      </c>
      <c r="F56" s="4" t="inlineStr">
        <is>
          <t>OAKLAND, CA</t>
        </is>
      </c>
      <c r="G56" s="4" t="inlineStr">
        <is>
          <t xml:space="preserve">DENVER, CO </t>
        </is>
      </c>
      <c r="H56" s="5">
        <f>VLOOKUP($A56,$A$5:$J$34,8,FALSE)</f>
        <v/>
      </c>
      <c r="I56" s="5">
        <f>VLOOKUP($A56,$A$5:$J$34,8,FALSE)</f>
        <v/>
      </c>
      <c r="J56" s="5">
        <f>VLOOKUP($A56,$A$5:$J$34,9,FALSE)</f>
        <v/>
      </c>
      <c r="K56" s="5">
        <f>VLOOKUP($B56,'US inland'!$A$7:$G$27,6,FALSE)</f>
        <v/>
      </c>
      <c r="L56" s="5">
        <f>VLOOKUP($B56,'US inland'!$A$7:$G$27,7,FALSE)</f>
        <v/>
      </c>
      <c r="M56" s="5">
        <f>VLOOKUP($B56,'US inland'!$A$7:$G$27,7,FALSE)</f>
        <v/>
      </c>
      <c r="N56" s="6">
        <f>VLOOKUP($F56,$F$19:$S$34,9,FALSE)</f>
        <v/>
      </c>
      <c r="O56" s="5">
        <f>VLOOKUP($F56,$F$19:$S$34,10,FALSE)</f>
        <v/>
      </c>
      <c r="P56" s="5">
        <f>VLOOKUP($F56,$F$19:$S$34,11,FALSE)</f>
        <v/>
      </c>
      <c r="Q56" s="5">
        <f>VLOOKUP($F56,$F$19:$S$34,12,FALSE)</f>
        <v/>
      </c>
      <c r="R56" s="5">
        <f>VLOOKUP($F56,$F$19:$S$34,13,FALSE)</f>
        <v/>
      </c>
      <c r="S56" s="5">
        <f>VLOOKUP($F56,$F$19:$S$34,14,FALSE)</f>
        <v/>
      </c>
      <c r="T56" s="9">
        <f>SUM(H56,K56,N56,Q56)</f>
        <v/>
      </c>
      <c r="U56" s="9">
        <f>SUM(I56,L56,O56,R56)</f>
        <v/>
      </c>
      <c r="V56" s="9">
        <f>SUM(J56,M56,P56,S56)</f>
        <v/>
      </c>
      <c r="W56" s="3" t="n">
        <v>46082</v>
      </c>
      <c r="X56" s="3" t="n">
        <v>46112</v>
      </c>
      <c r="Y56" s="5" t="n"/>
      <c r="AA56" s="13" t="n">
        <v>46082</v>
      </c>
      <c r="AB56" s="13" t="n">
        <v>46112</v>
      </c>
      <c r="AC56" s="9" t="n"/>
      <c r="AD56" s="9">
        <f>T56-AA56</f>
        <v/>
      </c>
      <c r="AE56" s="9">
        <f>U56-AB56</f>
        <v/>
      </c>
      <c r="AF56" s="9">
        <f>V56-AC56</f>
        <v/>
      </c>
    </row>
    <row r="57">
      <c r="A57">
        <f>E57&amp;F57</f>
        <v/>
      </c>
      <c r="B57">
        <f>G57&amp;F57</f>
        <v/>
      </c>
      <c r="C57" s="4">
        <f>VLOOKUP(D57,Sheet1!$A$1:$B$4,2,FALSE)</f>
        <v/>
      </c>
      <c r="D57" s="4" t="inlineStr">
        <is>
          <t>ROTTERDAM</t>
        </is>
      </c>
      <c r="E57" s="4" t="inlineStr">
        <is>
          <t>ROTTERDAM</t>
        </is>
      </c>
      <c r="F57" s="4" t="inlineStr">
        <is>
          <t>OAKLAND, CA</t>
        </is>
      </c>
      <c r="G57" s="4" t="inlineStr">
        <is>
          <t xml:space="preserve">DENVER, CO </t>
        </is>
      </c>
      <c r="H57" s="5">
        <f>VLOOKUP($A57,$A$5:$J$34,8,FALSE)</f>
        <v/>
      </c>
      <c r="I57" s="5">
        <f>VLOOKUP($A57,$A$5:$J$34,8,FALSE)</f>
        <v/>
      </c>
      <c r="J57" s="5">
        <f>VLOOKUP($A57,$A$5:$J$34,9,FALSE)</f>
        <v/>
      </c>
      <c r="K57" s="5">
        <f>VLOOKUP($B57,'US inland'!$A$7:$G$27,6,FALSE)</f>
        <v/>
      </c>
      <c r="L57" s="5">
        <f>VLOOKUP($B57,'US inland'!$A$7:$G$27,7,FALSE)</f>
        <v/>
      </c>
      <c r="M57" s="5">
        <f>VLOOKUP($B57,'US inland'!$A$7:$G$27,7,FALSE)</f>
        <v/>
      </c>
      <c r="N57" s="6">
        <f>VLOOKUP($F57,$F$19:$S$34,9,FALSE)</f>
        <v/>
      </c>
      <c r="O57" s="5">
        <f>VLOOKUP($F57,$F$19:$S$34,10,FALSE)</f>
        <v/>
      </c>
      <c r="P57" s="5">
        <f>VLOOKUP($F57,$F$19:$S$34,11,FALSE)</f>
        <v/>
      </c>
      <c r="Q57" s="5">
        <f>VLOOKUP($F57,$F$19:$S$34,12,FALSE)</f>
        <v/>
      </c>
      <c r="R57" s="5">
        <f>VLOOKUP($F57,$F$19:$S$34,13,FALSE)</f>
        <v/>
      </c>
      <c r="S57" s="5">
        <f>VLOOKUP($F57,$F$19:$S$34,14,FALSE)</f>
        <v/>
      </c>
      <c r="T57" s="9">
        <f>SUM(H57,K57,N57,Q57)</f>
        <v/>
      </c>
      <c r="U57" s="9">
        <f>SUM(I57,L57,O57,R57)</f>
        <v/>
      </c>
      <c r="V57" s="9">
        <f>SUM(J57,M57,P57,S57)</f>
        <v/>
      </c>
      <c r="W57" s="3" t="n">
        <v>46082</v>
      </c>
      <c r="X57" s="3" t="n">
        <v>46112</v>
      </c>
      <c r="Y57" s="5" t="n"/>
      <c r="AA57" s="13" t="n">
        <v>46082</v>
      </c>
      <c r="AB57" s="13" t="n">
        <v>46112</v>
      </c>
      <c r="AC57" s="9" t="n"/>
      <c r="AD57" s="9">
        <f>T57-AA57</f>
        <v/>
      </c>
      <c r="AE57" s="9">
        <f>U57-AB57</f>
        <v/>
      </c>
      <c r="AF57" s="9">
        <f>V57-AC57</f>
        <v/>
      </c>
    </row>
    <row r="58">
      <c r="A58">
        <f>E58&amp;F58</f>
        <v/>
      </c>
      <c r="B58">
        <f>G58&amp;F58</f>
        <v/>
      </c>
      <c r="C58" s="4">
        <f>VLOOKUP(D58,Sheet1!$A$1:$B$4,2,FALSE)</f>
        <v/>
      </c>
      <c r="D58" s="4" t="inlineStr">
        <is>
          <t>ANTWERP</t>
        </is>
      </c>
      <c r="E58" s="4" t="inlineStr">
        <is>
          <t>ANTWERP</t>
        </is>
      </c>
      <c r="F58" s="4" t="inlineStr">
        <is>
          <t>OAKLAND, CA</t>
        </is>
      </c>
      <c r="G58" s="4" t="inlineStr">
        <is>
          <t xml:space="preserve">DENVER, CO </t>
        </is>
      </c>
      <c r="H58" s="5">
        <f>VLOOKUP($A58,$A$5:$J$34,8,FALSE)</f>
        <v/>
      </c>
      <c r="I58" s="5">
        <f>VLOOKUP($A58,$A$5:$J$34,8,FALSE)</f>
        <v/>
      </c>
      <c r="J58" s="5">
        <f>VLOOKUP($A58,$A$5:$J$34,9,FALSE)</f>
        <v/>
      </c>
      <c r="K58" s="5">
        <f>VLOOKUP($B58,'US inland'!$A$7:$G$27,6,FALSE)</f>
        <v/>
      </c>
      <c r="L58" s="5">
        <f>VLOOKUP($B58,'US inland'!$A$7:$G$27,7,FALSE)</f>
        <v/>
      </c>
      <c r="M58" s="5">
        <f>VLOOKUP($B58,'US inland'!$A$7:$G$27,7,FALSE)</f>
        <v/>
      </c>
      <c r="N58" s="6">
        <f>VLOOKUP($F58,$F$19:$S$34,9,FALSE)</f>
        <v/>
      </c>
      <c r="O58" s="5">
        <f>VLOOKUP($F58,$F$19:$S$34,10,FALSE)</f>
        <v/>
      </c>
      <c r="P58" s="5">
        <f>VLOOKUP($F58,$F$19:$S$34,11,FALSE)</f>
        <v/>
      </c>
      <c r="Q58" s="5">
        <f>VLOOKUP($F58,$F$19:$S$34,12,FALSE)</f>
        <v/>
      </c>
      <c r="R58" s="5">
        <f>VLOOKUP($F58,$F$19:$S$34,13,FALSE)</f>
        <v/>
      </c>
      <c r="S58" s="5">
        <f>VLOOKUP($F58,$F$19:$S$34,14,FALSE)</f>
        <v/>
      </c>
      <c r="T58" s="9">
        <f>SUM(H58,K58,N58,Q58)</f>
        <v/>
      </c>
      <c r="U58" s="9">
        <f>SUM(I58,L58,O58,R58)</f>
        <v/>
      </c>
      <c r="V58" s="9">
        <f>SUM(J58,M58,P58,S58)</f>
        <v/>
      </c>
      <c r="W58" s="3" t="n">
        <v>46082</v>
      </c>
      <c r="X58" s="3" t="n">
        <v>46112</v>
      </c>
      <c r="Y58" s="5" t="n"/>
      <c r="AA58" s="13" t="n">
        <v>46082</v>
      </c>
      <c r="AB58" s="13" t="n">
        <v>46112</v>
      </c>
      <c r="AC58" s="9" t="n"/>
      <c r="AD58" s="9">
        <f>T58-AA58</f>
        <v/>
      </c>
      <c r="AE58" s="9">
        <f>U58-AB58</f>
        <v/>
      </c>
      <c r="AF58" s="9">
        <f>V58-AC58</f>
        <v/>
      </c>
    </row>
    <row r="59">
      <c r="A59">
        <f>E59&amp;F59</f>
        <v/>
      </c>
      <c r="B59">
        <f>G59&amp;F59</f>
        <v/>
      </c>
      <c r="C59" s="4">
        <f>VLOOKUP(D59,Sheet1!$A$1:$B$4,2,FALSE)</f>
        <v/>
      </c>
      <c r="D59" s="4" t="inlineStr">
        <is>
          <t>BREMERHAVEN</t>
        </is>
      </c>
      <c r="E59" s="4" t="inlineStr">
        <is>
          <t>BREMERHAVEN</t>
        </is>
      </c>
      <c r="F59" s="4" t="inlineStr">
        <is>
          <t>NEW YORK, NY</t>
        </is>
      </c>
      <c r="G59" s="4" t="inlineStr">
        <is>
          <t>DETROIT, MI</t>
        </is>
      </c>
      <c r="H59" s="5">
        <f>VLOOKUP($A59,$A$5:$J$34,8,FALSE)</f>
        <v/>
      </c>
      <c r="I59" s="5">
        <f>VLOOKUP($A59,$A$5:$J$34,8,FALSE)</f>
        <v/>
      </c>
      <c r="J59" s="5">
        <f>VLOOKUP($A59,$A$5:$J$34,9,FALSE)</f>
        <v/>
      </c>
      <c r="K59" s="5">
        <f>VLOOKUP($B59,'US inland'!$A$7:$G$27,6,FALSE)</f>
        <v/>
      </c>
      <c r="L59" s="5">
        <f>VLOOKUP($B59,'US inland'!$A$7:$G$27,7,FALSE)</f>
        <v/>
      </c>
      <c r="M59" s="5">
        <f>VLOOKUP($B59,'US inland'!$A$7:$G$27,7,FALSE)</f>
        <v/>
      </c>
      <c r="N59" s="6">
        <f>VLOOKUP($F59,$F$19:$S$34,9,FALSE)</f>
        <v/>
      </c>
      <c r="O59" s="5">
        <f>VLOOKUP($F59,$F$19:$S$34,10,FALSE)</f>
        <v/>
      </c>
      <c r="P59" s="5">
        <f>VLOOKUP($F59,$F$19:$S$34,11,FALSE)</f>
        <v/>
      </c>
      <c r="Q59" s="5">
        <f>VLOOKUP($F59,$F$19:$S$34,12,FALSE)</f>
        <v/>
      </c>
      <c r="R59" s="5">
        <f>VLOOKUP($F59,$F$19:$S$34,13,FALSE)</f>
        <v/>
      </c>
      <c r="S59" s="5">
        <f>VLOOKUP($F59,$F$19:$S$34,14,FALSE)</f>
        <v/>
      </c>
      <c r="T59" s="9">
        <f>SUM(H59,K59,N59,Q59)</f>
        <v/>
      </c>
      <c r="U59" s="9">
        <f>SUM(I59,L59,O59,R59)</f>
        <v/>
      </c>
      <c r="V59" s="9">
        <f>SUM(J59,M59,P59,S59)</f>
        <v/>
      </c>
      <c r="W59" s="3" t="n">
        <v>46082</v>
      </c>
      <c r="X59" s="3" t="n">
        <v>46112</v>
      </c>
      <c r="Y59" s="5" t="n"/>
      <c r="AA59" s="13" t="n">
        <v>46082</v>
      </c>
      <c r="AB59" s="13" t="n">
        <v>46112</v>
      </c>
      <c r="AC59" s="9" t="n"/>
      <c r="AD59" s="9">
        <f>T59-AA59</f>
        <v/>
      </c>
      <c r="AE59" s="9">
        <f>U59-AB59</f>
        <v/>
      </c>
      <c r="AF59" s="9">
        <f>V59-AC59</f>
        <v/>
      </c>
    </row>
    <row r="60">
      <c r="A60">
        <f>E60&amp;F60</f>
        <v/>
      </c>
      <c r="B60">
        <f>G60&amp;F60</f>
        <v/>
      </c>
      <c r="C60" s="4">
        <f>VLOOKUP(D60,Sheet1!$A$1:$B$4,2,FALSE)</f>
        <v/>
      </c>
      <c r="D60" s="4" t="inlineStr">
        <is>
          <t>BREMERHAVEN</t>
        </is>
      </c>
      <c r="E60" s="4" t="inlineStr">
        <is>
          <t>BREMERHAVEN</t>
        </is>
      </c>
      <c r="F60" s="4" t="inlineStr">
        <is>
          <t>CHARLESTON, SC</t>
        </is>
      </c>
      <c r="G60" s="4" t="inlineStr">
        <is>
          <t>GREER, SC</t>
        </is>
      </c>
      <c r="H60" s="5">
        <f>VLOOKUP($A60,$A$5:$J$34,8,FALSE)</f>
        <v/>
      </c>
      <c r="I60" s="5">
        <f>VLOOKUP($A60,$A$5:$J$34,8,FALSE)</f>
        <v/>
      </c>
      <c r="J60" s="5">
        <f>VLOOKUP($A60,$A$5:$J$34,9,FALSE)</f>
        <v/>
      </c>
      <c r="K60" s="5">
        <f>VLOOKUP($B60,'US inland'!$A$7:$G$27,6,FALSE)</f>
        <v/>
      </c>
      <c r="L60" s="5">
        <f>VLOOKUP($B60,'US inland'!$A$7:$G$27,7,FALSE)</f>
        <v/>
      </c>
      <c r="M60" s="5">
        <f>VLOOKUP($B60,'US inland'!$A$7:$G$27,7,FALSE)</f>
        <v/>
      </c>
      <c r="N60" s="6">
        <f>VLOOKUP($F60,$F$19:$S$34,9,FALSE)</f>
        <v/>
      </c>
      <c r="O60" s="5">
        <f>VLOOKUP($F60,$F$19:$S$34,10,FALSE)</f>
        <v/>
      </c>
      <c r="P60" s="5">
        <f>VLOOKUP($F60,$F$19:$S$34,11,FALSE)</f>
        <v/>
      </c>
      <c r="Q60" s="5">
        <f>VLOOKUP($F60,$F$19:$S$34,12,FALSE)</f>
        <v/>
      </c>
      <c r="R60" s="5">
        <f>VLOOKUP($F60,$F$19:$S$34,13,FALSE)</f>
        <v/>
      </c>
      <c r="S60" s="5">
        <f>VLOOKUP($F60,$F$19:$S$34,14,FALSE)</f>
        <v/>
      </c>
      <c r="T60" s="9">
        <f>SUM(H60,K60,N60,Q60)</f>
        <v/>
      </c>
      <c r="U60" s="9">
        <f>SUM(I60,L60,O60,R60)</f>
        <v/>
      </c>
      <c r="V60" s="9">
        <f>SUM(J60,M60,P60,S60)</f>
        <v/>
      </c>
      <c r="W60" s="3" t="n">
        <v>46082</v>
      </c>
      <c r="X60" s="3" t="n">
        <v>46112</v>
      </c>
      <c r="Y60" s="5" t="n"/>
      <c r="AA60" s="13" t="n">
        <v>46082</v>
      </c>
      <c r="AB60" s="13" t="n">
        <v>46112</v>
      </c>
      <c r="AC60" s="9" t="n"/>
      <c r="AD60" s="9">
        <f>T60-AA60</f>
        <v/>
      </c>
      <c r="AE60" s="9">
        <f>U60-AB60</f>
        <v/>
      </c>
      <c r="AF60" s="9">
        <f>V60-AC60</f>
        <v/>
      </c>
    </row>
    <row r="61">
      <c r="A61">
        <f>E61&amp;F61</f>
        <v/>
      </c>
      <c r="B61">
        <f>G61&amp;F61</f>
        <v/>
      </c>
      <c r="C61" s="4">
        <f>VLOOKUP(D61,Sheet1!$A$1:$B$4,2,FALSE)</f>
        <v/>
      </c>
      <c r="D61" s="4" t="inlineStr">
        <is>
          <t>BREMERHAVEN</t>
        </is>
      </c>
      <c r="E61" s="4" t="inlineStr">
        <is>
          <t>BREMERHAVEN</t>
        </is>
      </c>
      <c r="F61" s="4" t="inlineStr">
        <is>
          <t>NEW YORK, NY</t>
        </is>
      </c>
      <c r="G61" s="4" t="inlineStr">
        <is>
          <t>INDIANAPOLIS, IN</t>
        </is>
      </c>
      <c r="H61" s="5">
        <f>VLOOKUP($A61,$A$5:$J$34,8,FALSE)</f>
        <v/>
      </c>
      <c r="I61" s="5">
        <f>VLOOKUP($A61,$A$5:$J$34,8,FALSE)</f>
        <v/>
      </c>
      <c r="J61" s="5">
        <f>VLOOKUP($A61,$A$5:$J$34,9,FALSE)</f>
        <v/>
      </c>
      <c r="K61" s="5">
        <f>VLOOKUP($B61,'US inland'!$A$7:$G$27,6,FALSE)</f>
        <v/>
      </c>
      <c r="L61" s="5">
        <f>VLOOKUP($B61,'US inland'!$A$7:$G$27,7,FALSE)</f>
        <v/>
      </c>
      <c r="M61" s="5">
        <f>VLOOKUP($B61,'US inland'!$A$7:$G$27,7,FALSE)</f>
        <v/>
      </c>
      <c r="N61" s="6">
        <f>VLOOKUP($F61,$F$19:$S$34,9,FALSE)</f>
        <v/>
      </c>
      <c r="O61" s="5">
        <f>VLOOKUP($F61,$F$19:$S$34,10,FALSE)</f>
        <v/>
      </c>
      <c r="P61" s="5">
        <f>VLOOKUP($F61,$F$19:$S$34,11,FALSE)</f>
        <v/>
      </c>
      <c r="Q61" s="5">
        <f>VLOOKUP($F61,$F$19:$S$34,12,FALSE)</f>
        <v/>
      </c>
      <c r="R61" s="5">
        <f>VLOOKUP($F61,$F$19:$S$34,13,FALSE)</f>
        <v/>
      </c>
      <c r="S61" s="5">
        <f>VLOOKUP($F61,$F$19:$S$34,14,FALSE)</f>
        <v/>
      </c>
      <c r="T61" s="9">
        <f>SUM(H61,K61,N61,Q61)</f>
        <v/>
      </c>
      <c r="U61" s="9">
        <f>SUM(I61,L61,O61,R61)</f>
        <v/>
      </c>
      <c r="V61" s="9">
        <f>SUM(J61,M61,P61,S61)</f>
        <v/>
      </c>
      <c r="W61" s="3" t="n">
        <v>46082</v>
      </c>
      <c r="X61" s="3" t="n">
        <v>46112</v>
      </c>
      <c r="Y61" s="5" t="n"/>
      <c r="AA61" s="13" t="n">
        <v>46082</v>
      </c>
      <c r="AB61" s="13" t="n">
        <v>46112</v>
      </c>
      <c r="AC61" s="9" t="n"/>
      <c r="AD61" s="9">
        <f>T61-AA61</f>
        <v/>
      </c>
      <c r="AE61" s="9">
        <f>U61-AB61</f>
        <v/>
      </c>
      <c r="AF61" s="9">
        <f>V61-AC61</f>
        <v/>
      </c>
    </row>
    <row r="62">
      <c r="A62">
        <f>E62&amp;F62</f>
        <v/>
      </c>
      <c r="B62">
        <f>G62&amp;F62</f>
        <v/>
      </c>
      <c r="C62" s="4">
        <f>VLOOKUP(D62,Sheet1!$A$1:$B$4,2,FALSE)</f>
        <v/>
      </c>
      <c r="D62" s="4" t="inlineStr">
        <is>
          <t>BREMERHAVEN</t>
        </is>
      </c>
      <c r="E62" s="4" t="inlineStr">
        <is>
          <t>BREMERHAVEN</t>
        </is>
      </c>
      <c r="F62" s="4" t="inlineStr">
        <is>
          <t>NEW YORK, NY</t>
        </is>
      </c>
      <c r="G62" s="4" t="inlineStr">
        <is>
          <t>KANSAS CITY, MO</t>
        </is>
      </c>
      <c r="H62" s="5">
        <f>VLOOKUP($A62,$A$5:$J$34,8,FALSE)</f>
        <v/>
      </c>
      <c r="I62" s="5">
        <f>VLOOKUP($A62,$A$5:$J$34,8,FALSE)</f>
        <v/>
      </c>
      <c r="J62" s="5">
        <f>VLOOKUP($A62,$A$5:$J$34,9,FALSE)</f>
        <v/>
      </c>
      <c r="K62" s="5">
        <f>VLOOKUP($B62,'US inland'!$A$7:$G$27,6,FALSE)</f>
        <v/>
      </c>
      <c r="L62" s="5">
        <f>VLOOKUP($B62,'US inland'!$A$7:$G$27,7,FALSE)</f>
        <v/>
      </c>
      <c r="M62" s="5">
        <f>VLOOKUP($B62,'US inland'!$A$7:$G$27,7,FALSE)</f>
        <v/>
      </c>
      <c r="N62" s="6">
        <f>VLOOKUP($F62,$F$19:$S$34,9,FALSE)</f>
        <v/>
      </c>
      <c r="O62" s="5">
        <f>VLOOKUP($F62,$F$19:$S$34,10,FALSE)</f>
        <v/>
      </c>
      <c r="P62" s="5">
        <f>VLOOKUP($F62,$F$19:$S$34,11,FALSE)</f>
        <v/>
      </c>
      <c r="Q62" s="5">
        <f>VLOOKUP($F62,$F$19:$S$34,12,FALSE)</f>
        <v/>
      </c>
      <c r="R62" s="5">
        <f>VLOOKUP($F62,$F$19:$S$34,13,FALSE)</f>
        <v/>
      </c>
      <c r="S62" s="5">
        <f>VLOOKUP($F62,$F$19:$S$34,14,FALSE)</f>
        <v/>
      </c>
      <c r="T62" s="9">
        <f>SUM(H62,K62,N62,Q62)</f>
        <v/>
      </c>
      <c r="U62" s="9">
        <f>SUM(I62,L62,O62,R62)</f>
        <v/>
      </c>
      <c r="V62" s="9">
        <f>SUM(J62,M62,P62,S62)</f>
        <v/>
      </c>
      <c r="W62" s="3" t="n">
        <v>46082</v>
      </c>
      <c r="X62" s="3" t="n">
        <v>46112</v>
      </c>
      <c r="Y62" s="5" t="n"/>
      <c r="AA62" s="13" t="n">
        <v>46082</v>
      </c>
      <c r="AB62" s="13" t="n">
        <v>46112</v>
      </c>
      <c r="AC62" s="9" t="n"/>
      <c r="AD62" s="9">
        <f>T62-AA62</f>
        <v/>
      </c>
      <c r="AE62" s="9">
        <f>U62-AB62</f>
        <v/>
      </c>
      <c r="AF62" s="9">
        <f>V62-AC62</f>
        <v/>
      </c>
    </row>
    <row r="63">
      <c r="A63">
        <f>E63&amp;F63</f>
        <v/>
      </c>
      <c r="B63">
        <f>G63&amp;F63</f>
        <v/>
      </c>
      <c r="C63" s="4">
        <f>VLOOKUP(D63,Sheet1!$A$1:$B$4,2,FALSE)</f>
        <v/>
      </c>
      <c r="D63" s="4" t="inlineStr">
        <is>
          <t>BREMERHAVEN</t>
        </is>
      </c>
      <c r="E63" s="4" t="inlineStr">
        <is>
          <t>BREMERHAVEN</t>
        </is>
      </c>
      <c r="F63" s="4" t="inlineStr">
        <is>
          <t>HOUSTON, TX</t>
        </is>
      </c>
      <c r="G63" s="4" t="inlineStr">
        <is>
          <t>LONG BEACH, CA</t>
        </is>
      </c>
      <c r="H63" s="5">
        <f>VLOOKUP($A63,$A$5:$J$34,8,FALSE)</f>
        <v/>
      </c>
      <c r="I63" s="5">
        <f>VLOOKUP($A63,$A$5:$J$34,8,FALSE)</f>
        <v/>
      </c>
      <c r="J63" s="5">
        <f>VLOOKUP($A63,$A$5:$J$34,9,FALSE)</f>
        <v/>
      </c>
      <c r="K63" s="5">
        <f>VLOOKUP($B63,'US inland'!$A$7:$G$27,6,FALSE)</f>
        <v/>
      </c>
      <c r="L63" s="5">
        <f>VLOOKUP($B63,'US inland'!$A$7:$G$27,7,FALSE)</f>
        <v/>
      </c>
      <c r="M63" s="5">
        <f>VLOOKUP($B63,'US inland'!$A$7:$G$27,7,FALSE)</f>
        <v/>
      </c>
      <c r="N63" s="6">
        <f>VLOOKUP($F63,$F$19:$S$34,9,FALSE)</f>
        <v/>
      </c>
      <c r="O63" s="5">
        <f>VLOOKUP($F63,$F$19:$S$34,10,FALSE)</f>
        <v/>
      </c>
      <c r="P63" s="5">
        <f>VLOOKUP($F63,$F$19:$S$34,11,FALSE)</f>
        <v/>
      </c>
      <c r="Q63" s="5">
        <f>VLOOKUP($F63,$F$19:$S$34,12,FALSE)</f>
        <v/>
      </c>
      <c r="R63" s="5">
        <f>VLOOKUP($F63,$F$19:$S$34,13,FALSE)</f>
        <v/>
      </c>
      <c r="S63" s="5">
        <f>VLOOKUP($F63,$F$19:$S$34,14,FALSE)</f>
        <v/>
      </c>
      <c r="T63" s="9">
        <f>SUM(H63,K63,N63,Q63)</f>
        <v/>
      </c>
      <c r="U63" s="9">
        <f>SUM(I63,L63,O63,R63)</f>
        <v/>
      </c>
      <c r="V63" s="9">
        <f>SUM(J63,M63,P63,S63)</f>
        <v/>
      </c>
      <c r="W63" s="3" t="n">
        <v>46082</v>
      </c>
      <c r="X63" s="3" t="n">
        <v>46112</v>
      </c>
      <c r="Y63" s="5" t="n"/>
      <c r="AA63" s="13" t="n">
        <v>46082</v>
      </c>
      <c r="AB63" s="13" t="n">
        <v>46112</v>
      </c>
      <c r="AC63" s="9" t="n"/>
      <c r="AD63" s="9">
        <f>T63-AA63</f>
        <v/>
      </c>
      <c r="AE63" s="9">
        <f>U63-AB63</f>
        <v/>
      </c>
      <c r="AF63" s="9">
        <f>V63-AC63</f>
        <v/>
      </c>
    </row>
    <row r="64">
      <c r="A64">
        <f>E64&amp;F64</f>
        <v/>
      </c>
      <c r="B64">
        <f>G64&amp;F64</f>
        <v/>
      </c>
      <c r="C64" s="4">
        <f>VLOOKUP(D64,Sheet1!$A$1:$B$4,2,FALSE)</f>
        <v/>
      </c>
      <c r="D64" s="4" t="inlineStr">
        <is>
          <t>BREMERHAVEN</t>
        </is>
      </c>
      <c r="E64" s="4" t="inlineStr">
        <is>
          <t>BREMERHAVEN</t>
        </is>
      </c>
      <c r="F64" s="4" t="inlineStr">
        <is>
          <t>NORFOLK, VA</t>
        </is>
      </c>
      <c r="G64" s="4" t="inlineStr">
        <is>
          <t>LOUISVILLE, KY</t>
        </is>
      </c>
      <c r="H64" s="5">
        <f>VLOOKUP($A64,$A$5:$J$34,8,FALSE)</f>
        <v/>
      </c>
      <c r="I64" s="5">
        <f>VLOOKUP($A64,$A$5:$J$34,8,FALSE)</f>
        <v/>
      </c>
      <c r="J64" s="5">
        <f>VLOOKUP($A64,$A$5:$J$34,9,FALSE)</f>
        <v/>
      </c>
      <c r="K64" s="5">
        <f>VLOOKUP($B64,'US inland'!$A$7:$G$27,6,FALSE)</f>
        <v/>
      </c>
      <c r="L64" s="5">
        <f>VLOOKUP($B64,'US inland'!$A$7:$G$27,7,FALSE)</f>
        <v/>
      </c>
      <c r="M64" s="5">
        <f>VLOOKUP($B64,'US inland'!$A$7:$G$27,7,FALSE)</f>
        <v/>
      </c>
      <c r="N64" s="6">
        <f>VLOOKUP($F64,$F$19:$S$34,9,FALSE)</f>
        <v/>
      </c>
      <c r="O64" s="5">
        <f>VLOOKUP($F64,$F$19:$S$34,10,FALSE)</f>
        <v/>
      </c>
      <c r="P64" s="5">
        <f>VLOOKUP($F64,$F$19:$S$34,11,FALSE)</f>
        <v/>
      </c>
      <c r="Q64" s="5">
        <f>VLOOKUP($F64,$F$19:$S$34,12,FALSE)</f>
        <v/>
      </c>
      <c r="R64" s="5">
        <f>VLOOKUP($F64,$F$19:$S$34,13,FALSE)</f>
        <v/>
      </c>
      <c r="S64" s="5">
        <f>VLOOKUP($F64,$F$19:$S$34,14,FALSE)</f>
        <v/>
      </c>
      <c r="T64" s="9">
        <f>SUM(H64,K64,N64,Q64)</f>
        <v/>
      </c>
      <c r="U64" s="9">
        <f>SUM(I64,L64,O64,R64)</f>
        <v/>
      </c>
      <c r="V64" s="9">
        <f>SUM(J64,M64,P64,S64)</f>
        <v/>
      </c>
      <c r="W64" s="3" t="n">
        <v>46082</v>
      </c>
      <c r="X64" s="3" t="n">
        <v>46112</v>
      </c>
      <c r="Y64" s="5" t="n"/>
      <c r="AA64" s="13" t="n">
        <v>46082</v>
      </c>
      <c r="AB64" s="13" t="n">
        <v>46112</v>
      </c>
      <c r="AC64" s="9" t="n"/>
      <c r="AD64" s="9">
        <f>T64-AA64</f>
        <v/>
      </c>
      <c r="AE64" s="9">
        <f>U64-AB64</f>
        <v/>
      </c>
      <c r="AF64" s="9">
        <f>V64-AC64</f>
        <v/>
      </c>
    </row>
    <row r="65">
      <c r="A65">
        <f>E65&amp;F65</f>
        <v/>
      </c>
      <c r="B65">
        <f>G65&amp;F65</f>
        <v/>
      </c>
      <c r="C65" s="4">
        <f>VLOOKUP(D65,Sheet1!$A$1:$B$4,2,FALSE)</f>
        <v/>
      </c>
      <c r="D65" s="4" t="inlineStr">
        <is>
          <t>BREMERHAVEN</t>
        </is>
      </c>
      <c r="E65" s="4" t="inlineStr">
        <is>
          <t>BREMERHAVEN</t>
        </is>
      </c>
      <c r="F65" s="4" t="inlineStr">
        <is>
          <t>SAVANNAH, GA</t>
        </is>
      </c>
      <c r="G65" s="4" t="inlineStr">
        <is>
          <t>MEMPHIS, TN</t>
        </is>
      </c>
      <c r="H65" s="5">
        <f>VLOOKUP($A65,$A$5:$J$34,8,FALSE)</f>
        <v/>
      </c>
      <c r="I65" s="5">
        <f>VLOOKUP($A65,$A$5:$J$34,8,FALSE)</f>
        <v/>
      </c>
      <c r="J65" s="5">
        <f>VLOOKUP($A65,$A$5:$J$34,9,FALSE)</f>
        <v/>
      </c>
      <c r="K65" s="5">
        <f>VLOOKUP($B65,'US inland'!$A$7:$G$27,6,FALSE)</f>
        <v/>
      </c>
      <c r="L65" s="5">
        <f>VLOOKUP($B65,'US inland'!$A$7:$G$27,7,FALSE)</f>
        <v/>
      </c>
      <c r="M65" s="5">
        <f>VLOOKUP($B65,'US inland'!$A$7:$G$27,7,FALSE)</f>
        <v/>
      </c>
      <c r="N65" s="6">
        <f>VLOOKUP($F65,$F$19:$S$34,9,FALSE)</f>
        <v/>
      </c>
      <c r="O65" s="5">
        <f>VLOOKUP($F65,$F$19:$S$34,10,FALSE)</f>
        <v/>
      </c>
      <c r="P65" s="5">
        <f>VLOOKUP($F65,$F$19:$S$34,11,FALSE)</f>
        <v/>
      </c>
      <c r="Q65" s="5">
        <f>VLOOKUP($F65,$F$19:$S$34,12,FALSE)</f>
        <v/>
      </c>
      <c r="R65" s="5">
        <f>VLOOKUP($F65,$F$19:$S$34,13,FALSE)</f>
        <v/>
      </c>
      <c r="S65" s="5">
        <f>VLOOKUP($F65,$F$19:$S$34,14,FALSE)</f>
        <v/>
      </c>
      <c r="T65" s="9">
        <f>SUM(H65,K65,N65,Q65)</f>
        <v/>
      </c>
      <c r="U65" s="9">
        <f>SUM(I65,L65,O65,R65)</f>
        <v/>
      </c>
      <c r="V65" s="9">
        <f>SUM(J65,M65,P65,S65)</f>
        <v/>
      </c>
      <c r="W65" s="3" t="n">
        <v>46082</v>
      </c>
      <c r="X65" s="3" t="n">
        <v>46112</v>
      </c>
      <c r="Y65" s="5" t="n"/>
      <c r="AA65" s="13" t="n">
        <v>46082</v>
      </c>
      <c r="AB65" s="13" t="n">
        <v>46112</v>
      </c>
      <c r="AC65" s="9" t="n"/>
      <c r="AD65" s="9">
        <f>T65-AA65</f>
        <v/>
      </c>
      <c r="AE65" s="9">
        <f>U65-AB65</f>
        <v/>
      </c>
      <c r="AF65" s="9">
        <f>V65-AC65</f>
        <v/>
      </c>
    </row>
    <row r="66">
      <c r="A66">
        <f>E66&amp;F66</f>
        <v/>
      </c>
      <c r="B66">
        <f>G66&amp;F66</f>
        <v/>
      </c>
      <c r="C66" s="4">
        <f>VLOOKUP(D66,Sheet1!$A$1:$B$4,2,FALSE)</f>
        <v/>
      </c>
      <c r="D66" s="4" t="inlineStr">
        <is>
          <t>BREMERHAVEN</t>
        </is>
      </c>
      <c r="E66" s="4" t="inlineStr">
        <is>
          <t>BREMERHAVEN</t>
        </is>
      </c>
      <c r="F66" s="4" t="inlineStr">
        <is>
          <t>NEW YORK, NY</t>
        </is>
      </c>
      <c r="G66" s="4" t="inlineStr">
        <is>
          <t>MINNEAPOLIS, MN</t>
        </is>
      </c>
      <c r="H66" s="5">
        <f>VLOOKUP($A66,$A$5:$J$34,8,FALSE)</f>
        <v/>
      </c>
      <c r="I66" s="5">
        <f>VLOOKUP($A66,$A$5:$J$34,8,FALSE)</f>
        <v/>
      </c>
      <c r="J66" s="5">
        <f>VLOOKUP($A66,$A$5:$J$34,9,FALSE)</f>
        <v/>
      </c>
      <c r="K66" s="5">
        <f>VLOOKUP($B66,'US inland'!$A$7:$G$27,6,FALSE)</f>
        <v/>
      </c>
      <c r="L66" s="5">
        <f>VLOOKUP($B66,'US inland'!$A$7:$G$27,7,FALSE)</f>
        <v/>
      </c>
      <c r="M66" s="5">
        <f>VLOOKUP($B66,'US inland'!$A$7:$G$27,7,FALSE)</f>
        <v/>
      </c>
      <c r="N66" s="6">
        <f>VLOOKUP($F66,$F$19:$S$34,9,FALSE)</f>
        <v/>
      </c>
      <c r="O66" s="5">
        <f>VLOOKUP($F66,$F$19:$S$34,10,FALSE)</f>
        <v/>
      </c>
      <c r="P66" s="5">
        <f>VLOOKUP($F66,$F$19:$S$34,11,FALSE)</f>
        <v/>
      </c>
      <c r="Q66" s="5">
        <f>VLOOKUP($F66,$F$19:$S$34,12,FALSE)</f>
        <v/>
      </c>
      <c r="R66" s="5">
        <f>VLOOKUP($F66,$F$19:$S$34,13,FALSE)</f>
        <v/>
      </c>
      <c r="S66" s="5">
        <f>VLOOKUP($F66,$F$19:$S$34,14,FALSE)</f>
        <v/>
      </c>
      <c r="T66" s="9">
        <f>SUM(H66,K66,N66,Q66)</f>
        <v/>
      </c>
      <c r="U66" s="9">
        <f>SUM(I66,L66,O66,R66)</f>
        <v/>
      </c>
      <c r="V66" s="9">
        <f>SUM(J66,M66,P66,S66)</f>
        <v/>
      </c>
      <c r="W66" s="3" t="n">
        <v>46082</v>
      </c>
      <c r="X66" s="3" t="n">
        <v>46112</v>
      </c>
      <c r="Y66" s="5" t="n"/>
      <c r="AA66" s="13" t="n">
        <v>46082</v>
      </c>
      <c r="AB66" s="13" t="n">
        <v>46112</v>
      </c>
      <c r="AC66" s="9" t="n"/>
      <c r="AD66" s="9">
        <f>T66-AA66</f>
        <v/>
      </c>
      <c r="AE66" s="9">
        <f>U66-AB66</f>
        <v/>
      </c>
      <c r="AF66" s="9">
        <f>V66-AC66</f>
        <v/>
      </c>
    </row>
    <row r="67">
      <c r="A67">
        <f>E67&amp;F67</f>
        <v/>
      </c>
      <c r="B67">
        <f>G67&amp;F67</f>
        <v/>
      </c>
      <c r="C67" s="4">
        <f>VLOOKUP(D67,Sheet1!$A$1:$B$4,2,FALSE)</f>
        <v/>
      </c>
      <c r="D67" s="4" t="inlineStr">
        <is>
          <t>BREMERHAVEN</t>
        </is>
      </c>
      <c r="E67" s="4" t="inlineStr">
        <is>
          <t>BREMERHAVEN</t>
        </is>
      </c>
      <c r="F67" s="4" t="inlineStr">
        <is>
          <t>SAVANNAH, GA</t>
        </is>
      </c>
      <c r="G67" s="4" t="inlineStr">
        <is>
          <t>NASHVILLE, TN</t>
        </is>
      </c>
      <c r="H67" s="5">
        <f>VLOOKUP($A67,$A$5:$J$34,8,FALSE)</f>
        <v/>
      </c>
      <c r="I67" s="5">
        <f>VLOOKUP($A67,$A$5:$J$34,8,FALSE)</f>
        <v/>
      </c>
      <c r="J67" s="5">
        <f>VLOOKUP($A67,$A$5:$J$34,9,FALSE)</f>
        <v/>
      </c>
      <c r="K67" s="5">
        <f>VLOOKUP($B67,'US inland'!$A$7:$G$27,6,FALSE)</f>
        <v/>
      </c>
      <c r="L67" s="5">
        <f>VLOOKUP($B67,'US inland'!$A$7:$G$27,7,FALSE)</f>
        <v/>
      </c>
      <c r="M67" s="5">
        <f>VLOOKUP($B67,'US inland'!$A$7:$G$27,7,FALSE)</f>
        <v/>
      </c>
      <c r="N67" s="6">
        <f>VLOOKUP($F67,$F$19:$S$34,9,FALSE)</f>
        <v/>
      </c>
      <c r="O67" s="5">
        <f>VLOOKUP($F67,$F$19:$S$34,10,FALSE)</f>
        <v/>
      </c>
      <c r="P67" s="5">
        <f>VLOOKUP($F67,$F$19:$S$34,11,FALSE)</f>
        <v/>
      </c>
      <c r="Q67" s="5">
        <f>VLOOKUP($F67,$F$19:$S$34,12,FALSE)</f>
        <v/>
      </c>
      <c r="R67" s="5">
        <f>VLOOKUP($F67,$F$19:$S$34,13,FALSE)</f>
        <v/>
      </c>
      <c r="S67" s="5">
        <f>VLOOKUP($F67,$F$19:$S$34,14,FALSE)</f>
        <v/>
      </c>
      <c r="T67" s="9">
        <f>SUM(H67,K67,N67,Q67)</f>
        <v/>
      </c>
      <c r="U67" s="9">
        <f>SUM(I67,L67,O67,R67)</f>
        <v/>
      </c>
      <c r="V67" s="9">
        <f>SUM(J67,M67,P67,S67)</f>
        <v/>
      </c>
      <c r="W67" s="3" t="n">
        <v>46082</v>
      </c>
      <c r="X67" s="3" t="n">
        <v>46112</v>
      </c>
      <c r="Y67" s="5" t="n"/>
      <c r="AA67" s="13" t="n">
        <v>46082</v>
      </c>
      <c r="AB67" s="13" t="n">
        <v>46112</v>
      </c>
      <c r="AC67" s="9" t="n"/>
      <c r="AD67" s="9">
        <f>T67-AA67</f>
        <v/>
      </c>
      <c r="AE67" s="9">
        <f>U67-AB67</f>
        <v/>
      </c>
      <c r="AF67" s="9">
        <f>V67-AC67</f>
        <v/>
      </c>
    </row>
    <row r="68">
      <c r="A68">
        <f>E68&amp;F68</f>
        <v/>
      </c>
      <c r="B68">
        <f>G68&amp;F68</f>
        <v/>
      </c>
      <c r="C68" s="4">
        <f>VLOOKUP(D68,Sheet1!$A$1:$B$4,2,FALSE)</f>
        <v/>
      </c>
      <c r="D68" s="4" t="inlineStr">
        <is>
          <t>BREMERHAVEN</t>
        </is>
      </c>
      <c r="E68" s="4" t="inlineStr">
        <is>
          <t>BREMERHAVEN</t>
        </is>
      </c>
      <c r="F68" s="4" t="inlineStr">
        <is>
          <t>NEW YORK, NY</t>
        </is>
      </c>
      <c r="G68" s="4" t="inlineStr">
        <is>
          <t>PITTSBURGH, PA</t>
        </is>
      </c>
      <c r="H68" s="5">
        <f>VLOOKUP($A68,$A$5:$J$34,8,FALSE)</f>
        <v/>
      </c>
      <c r="I68" s="5">
        <f>VLOOKUP($A68,$A$5:$J$34,8,FALSE)</f>
        <v/>
      </c>
      <c r="J68" s="5">
        <f>VLOOKUP($A68,$A$5:$J$34,9,FALSE)</f>
        <v/>
      </c>
      <c r="K68" s="5">
        <f>VLOOKUP($B68,'US inland'!$A$7:$G$27,6,FALSE)</f>
        <v/>
      </c>
      <c r="L68" s="5">
        <f>VLOOKUP($B68,'US inland'!$A$7:$G$27,7,FALSE)</f>
        <v/>
      </c>
      <c r="M68" s="5">
        <f>VLOOKUP($B68,'US inland'!$A$7:$G$27,7,FALSE)</f>
        <v/>
      </c>
      <c r="N68" s="6">
        <f>VLOOKUP($F68,$F$19:$S$34,9,FALSE)</f>
        <v/>
      </c>
      <c r="O68" s="5">
        <f>VLOOKUP($F68,$F$19:$S$34,10,FALSE)</f>
        <v/>
      </c>
      <c r="P68" s="5">
        <f>VLOOKUP($F68,$F$19:$S$34,11,FALSE)</f>
        <v/>
      </c>
      <c r="Q68" s="5">
        <f>VLOOKUP($F68,$F$19:$S$34,12,FALSE)</f>
        <v/>
      </c>
      <c r="R68" s="5">
        <f>VLOOKUP($F68,$F$19:$S$34,13,FALSE)</f>
        <v/>
      </c>
      <c r="S68" s="5">
        <f>VLOOKUP($F68,$F$19:$S$34,14,FALSE)</f>
        <v/>
      </c>
      <c r="T68" s="9">
        <f>SUM(H68,K68,N68,Q68)</f>
        <v/>
      </c>
      <c r="U68" s="9">
        <f>SUM(I68,L68,O68,R68)</f>
        <v/>
      </c>
      <c r="V68" s="9">
        <f>SUM(J68,M68,P68,S68)</f>
        <v/>
      </c>
      <c r="W68" s="3" t="n">
        <v>46082</v>
      </c>
      <c r="X68" s="3" t="n">
        <v>46112</v>
      </c>
      <c r="Y68" s="5" t="n"/>
      <c r="AA68" s="13" t="n">
        <v>46082</v>
      </c>
      <c r="AB68" s="13" t="n">
        <v>46112</v>
      </c>
      <c r="AC68" s="9" t="n"/>
      <c r="AD68" s="9">
        <f>T68-AA68</f>
        <v/>
      </c>
      <c r="AE68" s="9">
        <f>U68-AB68</f>
        <v/>
      </c>
      <c r="AF68" s="9">
        <f>V68-AC68</f>
        <v/>
      </c>
    </row>
    <row r="69">
      <c r="A69">
        <f>E69&amp;F69</f>
        <v/>
      </c>
      <c r="B69">
        <f>G69&amp;F69</f>
        <v/>
      </c>
      <c r="C69" s="4">
        <f>VLOOKUP(D69,Sheet1!$A$1:$B$4,2,FALSE)</f>
        <v/>
      </c>
      <c r="D69" s="4" t="inlineStr">
        <is>
          <t>ROTTERDAM</t>
        </is>
      </c>
      <c r="E69" s="4" t="inlineStr">
        <is>
          <t>ROTTERDAM</t>
        </is>
      </c>
      <c r="F69" s="4" t="inlineStr">
        <is>
          <t>NEW YORK, NY</t>
        </is>
      </c>
      <c r="G69" s="4" t="inlineStr">
        <is>
          <t>DETROIT, MI</t>
        </is>
      </c>
      <c r="H69" s="5">
        <f>VLOOKUP($A69,$A$5:$J$34,8,FALSE)</f>
        <v/>
      </c>
      <c r="I69" s="5">
        <f>VLOOKUP($A69,$A$5:$J$34,8,FALSE)</f>
        <v/>
      </c>
      <c r="J69" s="5">
        <f>VLOOKUP($A69,$A$5:$J$34,9,FALSE)</f>
        <v/>
      </c>
      <c r="K69" s="5">
        <f>VLOOKUP($B69,'US inland'!$A$7:$G$27,6,FALSE)</f>
        <v/>
      </c>
      <c r="L69" s="5">
        <f>VLOOKUP($B69,'US inland'!$A$7:$G$27,7,FALSE)</f>
        <v/>
      </c>
      <c r="M69" s="5">
        <f>VLOOKUP($B69,'US inland'!$A$7:$G$27,7,FALSE)</f>
        <v/>
      </c>
      <c r="N69" s="6">
        <f>VLOOKUP($F69,$F$19:$S$34,9,FALSE)</f>
        <v/>
      </c>
      <c r="O69" s="5">
        <f>VLOOKUP($F69,$F$19:$S$34,10,FALSE)</f>
        <v/>
      </c>
      <c r="P69" s="5">
        <f>VLOOKUP($F69,$F$19:$S$34,11,FALSE)</f>
        <v/>
      </c>
      <c r="Q69" s="5">
        <f>VLOOKUP($F69,$F$19:$S$34,12,FALSE)</f>
        <v/>
      </c>
      <c r="R69" s="5">
        <f>VLOOKUP($F69,$F$19:$S$34,13,FALSE)</f>
        <v/>
      </c>
      <c r="S69" s="5">
        <f>VLOOKUP($F69,$F$19:$S$34,14,FALSE)</f>
        <v/>
      </c>
      <c r="T69" s="9">
        <f>SUM(H69,K69,N69,Q69)</f>
        <v/>
      </c>
      <c r="U69" s="9">
        <f>SUM(I69,L69,O69,R69)</f>
        <v/>
      </c>
      <c r="V69" s="9">
        <f>SUM(J69,M69,P69,S69)</f>
        <v/>
      </c>
      <c r="W69" s="3" t="n">
        <v>46082</v>
      </c>
      <c r="X69" s="3" t="n">
        <v>46112</v>
      </c>
      <c r="Y69" s="5" t="n"/>
      <c r="AA69" s="13" t="n">
        <v>46082</v>
      </c>
      <c r="AB69" s="13" t="n">
        <v>46112</v>
      </c>
      <c r="AC69" s="9" t="n"/>
      <c r="AD69" s="9">
        <f>T69-AA69</f>
        <v/>
      </c>
      <c r="AE69" s="9">
        <f>U69-AB69</f>
        <v/>
      </c>
      <c r="AF69" s="9">
        <f>V69-AC69</f>
        <v/>
      </c>
    </row>
    <row r="70">
      <c r="A70">
        <f>E70&amp;F70</f>
        <v/>
      </c>
      <c r="B70">
        <f>G70&amp;F70</f>
        <v/>
      </c>
      <c r="C70" s="4">
        <f>VLOOKUP(D70,Sheet1!$A$1:$B$4,2,FALSE)</f>
        <v/>
      </c>
      <c r="D70" s="4" t="inlineStr">
        <is>
          <t>ROTTERDAM</t>
        </is>
      </c>
      <c r="E70" s="4" t="inlineStr">
        <is>
          <t>ROTTERDAM</t>
        </is>
      </c>
      <c r="F70" s="4" t="inlineStr">
        <is>
          <t>CHARLESTON, SC</t>
        </is>
      </c>
      <c r="G70" s="4" t="inlineStr">
        <is>
          <t>GREER, SC</t>
        </is>
      </c>
      <c r="H70" s="5">
        <f>VLOOKUP($A70,$A$5:$J$34,8,FALSE)</f>
        <v/>
      </c>
      <c r="I70" s="5">
        <f>VLOOKUP($A70,$A$5:$J$34,8,FALSE)</f>
        <v/>
      </c>
      <c r="J70" s="5">
        <f>VLOOKUP($A70,$A$5:$J$34,9,FALSE)</f>
        <v/>
      </c>
      <c r="K70" s="5">
        <f>VLOOKUP($B70,'US inland'!$A$7:$G$27,6,FALSE)</f>
        <v/>
      </c>
      <c r="L70" s="5">
        <f>VLOOKUP($B70,'US inland'!$A$7:$G$27,7,FALSE)</f>
        <v/>
      </c>
      <c r="M70" s="5">
        <f>VLOOKUP($B70,'US inland'!$A$7:$G$27,7,FALSE)</f>
        <v/>
      </c>
      <c r="N70" s="6">
        <f>VLOOKUP($F70,$F$19:$S$34,9,FALSE)</f>
        <v/>
      </c>
      <c r="O70" s="5">
        <f>VLOOKUP($F70,$F$19:$S$34,10,FALSE)</f>
        <v/>
      </c>
      <c r="P70" s="5">
        <f>VLOOKUP($F70,$F$19:$S$34,11,FALSE)</f>
        <v/>
      </c>
      <c r="Q70" s="5">
        <f>VLOOKUP($F70,$F$19:$S$34,12,FALSE)</f>
        <v/>
      </c>
      <c r="R70" s="5">
        <f>VLOOKUP($F70,$F$19:$S$34,13,FALSE)</f>
        <v/>
      </c>
      <c r="S70" s="5">
        <f>VLOOKUP($F70,$F$19:$S$34,14,FALSE)</f>
        <v/>
      </c>
      <c r="T70" s="9">
        <f>SUM(H70,K70,N70,Q70)</f>
        <v/>
      </c>
      <c r="U70" s="9">
        <f>SUM(I70,L70,O70,R70)</f>
        <v/>
      </c>
      <c r="V70" s="9">
        <f>SUM(J70,M70,P70,S70)</f>
        <v/>
      </c>
      <c r="W70" s="3" t="n">
        <v>46082</v>
      </c>
      <c r="X70" s="3" t="n">
        <v>46112</v>
      </c>
      <c r="Y70" s="5" t="n"/>
      <c r="AA70" s="13" t="n">
        <v>46082</v>
      </c>
      <c r="AB70" s="13" t="n">
        <v>46112</v>
      </c>
      <c r="AC70" s="9" t="n"/>
      <c r="AD70" s="9">
        <f>T70-AA70</f>
        <v/>
      </c>
      <c r="AE70" s="9">
        <f>U70-AB70</f>
        <v/>
      </c>
      <c r="AF70" s="9">
        <f>V70-AC70</f>
        <v/>
      </c>
    </row>
    <row r="71">
      <c r="A71">
        <f>E71&amp;F71</f>
        <v/>
      </c>
      <c r="B71">
        <f>G71&amp;F71</f>
        <v/>
      </c>
      <c r="C71" s="4">
        <f>VLOOKUP(D71,Sheet1!$A$1:$B$4,2,FALSE)</f>
        <v/>
      </c>
      <c r="D71" s="4" t="inlineStr">
        <is>
          <t>ROTTERDAM</t>
        </is>
      </c>
      <c r="E71" s="4" t="inlineStr">
        <is>
          <t>ROTTERDAM</t>
        </is>
      </c>
      <c r="F71" s="4" t="inlineStr">
        <is>
          <t>NEW YORK, NY</t>
        </is>
      </c>
      <c r="G71" s="4" t="inlineStr">
        <is>
          <t>INDIANAPOLIS, IN</t>
        </is>
      </c>
      <c r="H71" s="5">
        <f>VLOOKUP($A71,$A$5:$J$34,8,FALSE)</f>
        <v/>
      </c>
      <c r="I71" s="5">
        <f>VLOOKUP($A71,$A$5:$J$34,8,FALSE)</f>
        <v/>
      </c>
      <c r="J71" s="5">
        <f>VLOOKUP($A71,$A$5:$J$34,9,FALSE)</f>
        <v/>
      </c>
      <c r="K71" s="5">
        <f>VLOOKUP($B71,'US inland'!$A$7:$G$27,6,FALSE)</f>
        <v/>
      </c>
      <c r="L71" s="5">
        <f>VLOOKUP($B71,'US inland'!$A$7:$G$27,7,FALSE)</f>
        <v/>
      </c>
      <c r="M71" s="5">
        <f>VLOOKUP($B71,'US inland'!$A$7:$G$27,7,FALSE)</f>
        <v/>
      </c>
      <c r="N71" s="6">
        <f>VLOOKUP($F71,$F$19:$S$34,9,FALSE)</f>
        <v/>
      </c>
      <c r="O71" s="5">
        <f>VLOOKUP($F71,$F$19:$S$34,10,FALSE)</f>
        <v/>
      </c>
      <c r="P71" s="5">
        <f>VLOOKUP($F71,$F$19:$S$34,11,FALSE)</f>
        <v/>
      </c>
      <c r="Q71" s="5">
        <f>VLOOKUP($F71,$F$19:$S$34,12,FALSE)</f>
        <v/>
      </c>
      <c r="R71" s="5">
        <f>VLOOKUP($F71,$F$19:$S$34,13,FALSE)</f>
        <v/>
      </c>
      <c r="S71" s="5">
        <f>VLOOKUP($F71,$F$19:$S$34,14,FALSE)</f>
        <v/>
      </c>
      <c r="T71" s="9">
        <f>SUM(H71,K71,N71,Q71)</f>
        <v/>
      </c>
      <c r="U71" s="9">
        <f>SUM(I71,L71,O71,R71)</f>
        <v/>
      </c>
      <c r="V71" s="9">
        <f>SUM(J71,M71,P71,S71)</f>
        <v/>
      </c>
      <c r="W71" s="3" t="n">
        <v>46082</v>
      </c>
      <c r="X71" s="3" t="n">
        <v>46112</v>
      </c>
      <c r="Y71" s="5" t="n"/>
      <c r="AA71" s="13" t="n">
        <v>46082</v>
      </c>
      <c r="AB71" s="13" t="n">
        <v>46112</v>
      </c>
      <c r="AC71" s="9" t="n"/>
      <c r="AD71" s="9">
        <f>T71-AA71</f>
        <v/>
      </c>
      <c r="AE71" s="9">
        <f>U71-AB71</f>
        <v/>
      </c>
      <c r="AF71" s="9">
        <f>V71-AC71</f>
        <v/>
      </c>
    </row>
    <row r="72">
      <c r="A72">
        <f>E72&amp;F72</f>
        <v/>
      </c>
      <c r="B72">
        <f>G72&amp;F72</f>
        <v/>
      </c>
      <c r="C72" s="4">
        <f>VLOOKUP(D72,Sheet1!$A$1:$B$4,2,FALSE)</f>
        <v/>
      </c>
      <c r="D72" s="4" t="inlineStr">
        <is>
          <t>ROTTERDAM</t>
        </is>
      </c>
      <c r="E72" s="4" t="inlineStr">
        <is>
          <t>ROTTERDAM</t>
        </is>
      </c>
      <c r="F72" s="4" t="inlineStr">
        <is>
          <t>NEW YORK, NY</t>
        </is>
      </c>
      <c r="G72" s="4" t="inlineStr">
        <is>
          <t>KANSAS CITY, MO</t>
        </is>
      </c>
      <c r="H72" s="5">
        <f>VLOOKUP($A72,$A$5:$J$34,8,FALSE)</f>
        <v/>
      </c>
      <c r="I72" s="5">
        <f>VLOOKUP($A72,$A$5:$J$34,8,FALSE)</f>
        <v/>
      </c>
      <c r="J72" s="5">
        <f>VLOOKUP($A72,$A$5:$J$34,9,FALSE)</f>
        <v/>
      </c>
      <c r="K72" s="5">
        <f>VLOOKUP($B72,'US inland'!$A$7:$G$27,6,FALSE)</f>
        <v/>
      </c>
      <c r="L72" s="5">
        <f>VLOOKUP($B72,'US inland'!$A$7:$G$27,7,FALSE)</f>
        <v/>
      </c>
      <c r="M72" s="5">
        <f>VLOOKUP($B72,'US inland'!$A$7:$G$27,7,FALSE)</f>
        <v/>
      </c>
      <c r="N72" s="6">
        <f>VLOOKUP($F72,$F$19:$S$34,9,FALSE)</f>
        <v/>
      </c>
      <c r="O72" s="5">
        <f>VLOOKUP($F72,$F$19:$S$34,10,FALSE)</f>
        <v/>
      </c>
      <c r="P72" s="5">
        <f>VLOOKUP($F72,$F$19:$S$34,11,FALSE)</f>
        <v/>
      </c>
      <c r="Q72" s="5">
        <f>VLOOKUP($F72,$F$19:$S$34,12,FALSE)</f>
        <v/>
      </c>
      <c r="R72" s="5">
        <f>VLOOKUP($F72,$F$19:$S$34,13,FALSE)</f>
        <v/>
      </c>
      <c r="S72" s="5">
        <f>VLOOKUP($F72,$F$19:$S$34,14,FALSE)</f>
        <v/>
      </c>
      <c r="T72" s="9">
        <f>SUM(H72,K72,N72,Q72)</f>
        <v/>
      </c>
      <c r="U72" s="9">
        <f>SUM(I72,L72,O72,R72)</f>
        <v/>
      </c>
      <c r="V72" s="9">
        <f>SUM(J72,M72,P72,S72)</f>
        <v/>
      </c>
      <c r="W72" s="3" t="n">
        <v>46082</v>
      </c>
      <c r="X72" s="3" t="n">
        <v>46112</v>
      </c>
      <c r="Y72" s="5" t="n"/>
      <c r="AA72" s="13" t="n">
        <v>46082</v>
      </c>
      <c r="AB72" s="13" t="n">
        <v>46112</v>
      </c>
      <c r="AC72" s="9" t="n"/>
      <c r="AD72" s="9">
        <f>T72-AA72</f>
        <v/>
      </c>
      <c r="AE72" s="9">
        <f>U72-AB72</f>
        <v/>
      </c>
      <c r="AF72" s="9">
        <f>V72-AC72</f>
        <v/>
      </c>
    </row>
    <row r="73">
      <c r="A73">
        <f>E73&amp;F73</f>
        <v/>
      </c>
      <c r="B73">
        <f>G73&amp;F73</f>
        <v/>
      </c>
      <c r="C73" s="4">
        <f>VLOOKUP(D73,Sheet1!$A$1:$B$4,2,FALSE)</f>
        <v/>
      </c>
      <c r="D73" s="4" t="inlineStr">
        <is>
          <t>ROTTERDAM</t>
        </is>
      </c>
      <c r="E73" s="4" t="inlineStr">
        <is>
          <t>ROTTERDAM</t>
        </is>
      </c>
      <c r="F73" s="4" t="inlineStr">
        <is>
          <t>HOUSTON, TX</t>
        </is>
      </c>
      <c r="G73" s="4" t="inlineStr">
        <is>
          <t>LONG BEACH, CA</t>
        </is>
      </c>
      <c r="H73" s="5">
        <f>VLOOKUP($A73,$A$5:$J$34,8,FALSE)</f>
        <v/>
      </c>
      <c r="I73" s="5">
        <f>VLOOKUP($A73,$A$5:$J$34,8,FALSE)</f>
        <v/>
      </c>
      <c r="J73" s="5">
        <f>VLOOKUP($A73,$A$5:$J$34,9,FALSE)</f>
        <v/>
      </c>
      <c r="K73" s="5">
        <f>VLOOKUP($B73,'US inland'!$A$7:$G$27,6,FALSE)</f>
        <v/>
      </c>
      <c r="L73" s="5">
        <f>VLOOKUP($B73,'US inland'!$A$7:$G$27,7,FALSE)</f>
        <v/>
      </c>
      <c r="M73" s="5">
        <f>VLOOKUP($B73,'US inland'!$A$7:$G$27,7,FALSE)</f>
        <v/>
      </c>
      <c r="N73" s="6">
        <f>VLOOKUP($F73,$F$19:$S$34,9,FALSE)</f>
        <v/>
      </c>
      <c r="O73" s="5">
        <f>VLOOKUP($F73,$F$19:$S$34,10,FALSE)</f>
        <v/>
      </c>
      <c r="P73" s="5">
        <f>VLOOKUP($F73,$F$19:$S$34,11,FALSE)</f>
        <v/>
      </c>
      <c r="Q73" s="5">
        <f>VLOOKUP($F73,$F$19:$S$34,12,FALSE)</f>
        <v/>
      </c>
      <c r="R73" s="5">
        <f>VLOOKUP($F73,$F$19:$S$34,13,FALSE)</f>
        <v/>
      </c>
      <c r="S73" s="5">
        <f>VLOOKUP($F73,$F$19:$S$34,14,FALSE)</f>
        <v/>
      </c>
      <c r="T73" s="9">
        <f>SUM(H73,K73,N73,Q73)</f>
        <v/>
      </c>
      <c r="U73" s="9">
        <f>SUM(I73,L73,O73,R73)</f>
        <v/>
      </c>
      <c r="V73" s="9">
        <f>SUM(J73,M73,P73,S73)</f>
        <v/>
      </c>
      <c r="W73" s="3" t="n">
        <v>46082</v>
      </c>
      <c r="X73" s="3" t="n">
        <v>46112</v>
      </c>
      <c r="Y73" s="5" t="n"/>
      <c r="AA73" s="13" t="n">
        <v>46082</v>
      </c>
      <c r="AB73" s="13" t="n">
        <v>46112</v>
      </c>
      <c r="AC73" s="9" t="n"/>
      <c r="AD73" s="9">
        <f>T73-AA73</f>
        <v/>
      </c>
      <c r="AE73" s="9">
        <f>U73-AB73</f>
        <v/>
      </c>
      <c r="AF73" s="9">
        <f>V73-AC73</f>
        <v/>
      </c>
    </row>
    <row r="74">
      <c r="A74">
        <f>E74&amp;F74</f>
        <v/>
      </c>
      <c r="B74">
        <f>G74&amp;F74</f>
        <v/>
      </c>
      <c r="C74" s="4">
        <f>VLOOKUP(D74,Sheet1!$A$1:$B$4,2,FALSE)</f>
        <v/>
      </c>
      <c r="D74" s="4" t="inlineStr">
        <is>
          <t>ROTTERDAM</t>
        </is>
      </c>
      <c r="E74" s="4" t="inlineStr">
        <is>
          <t>ROTTERDAM</t>
        </is>
      </c>
      <c r="F74" s="4" t="inlineStr">
        <is>
          <t>NORFOLK, VA</t>
        </is>
      </c>
      <c r="G74" s="4" t="inlineStr">
        <is>
          <t>LOUISVILLE, KY</t>
        </is>
      </c>
      <c r="H74" s="5">
        <f>VLOOKUP($A74,$A$5:$J$34,8,FALSE)</f>
        <v/>
      </c>
      <c r="I74" s="5">
        <f>VLOOKUP($A74,$A$5:$J$34,8,FALSE)</f>
        <v/>
      </c>
      <c r="J74" s="5">
        <f>VLOOKUP($A74,$A$5:$J$34,9,FALSE)</f>
        <v/>
      </c>
      <c r="K74" s="5">
        <f>VLOOKUP($B74,'US inland'!$A$7:$G$27,6,FALSE)</f>
        <v/>
      </c>
      <c r="L74" s="5">
        <f>VLOOKUP($B74,'US inland'!$A$7:$G$27,7,FALSE)</f>
        <v/>
      </c>
      <c r="M74" s="5">
        <f>VLOOKUP($B74,'US inland'!$A$7:$G$27,7,FALSE)</f>
        <v/>
      </c>
      <c r="N74" s="6">
        <f>VLOOKUP($F74,$F$19:$S$34,9,FALSE)</f>
        <v/>
      </c>
      <c r="O74" s="5">
        <f>VLOOKUP($F74,$F$19:$S$34,10,FALSE)</f>
        <v/>
      </c>
      <c r="P74" s="5">
        <f>VLOOKUP($F74,$F$19:$S$34,11,FALSE)</f>
        <v/>
      </c>
      <c r="Q74" s="5">
        <f>VLOOKUP($F74,$F$19:$S$34,12,FALSE)</f>
        <v/>
      </c>
      <c r="R74" s="5">
        <f>VLOOKUP($F74,$F$19:$S$34,13,FALSE)</f>
        <v/>
      </c>
      <c r="S74" s="5">
        <f>VLOOKUP($F74,$F$19:$S$34,14,FALSE)</f>
        <v/>
      </c>
      <c r="T74" s="9">
        <f>SUM(H74,K74,N74,Q74)</f>
        <v/>
      </c>
      <c r="U74" s="9">
        <f>SUM(I74,L74,O74,R74)</f>
        <v/>
      </c>
      <c r="V74" s="9">
        <f>SUM(J74,M74,P74,S74)</f>
        <v/>
      </c>
      <c r="W74" s="3" t="n">
        <v>46082</v>
      </c>
      <c r="X74" s="3" t="n">
        <v>46112</v>
      </c>
      <c r="Y74" s="5" t="n"/>
      <c r="AA74" s="13" t="n">
        <v>46082</v>
      </c>
      <c r="AB74" s="13" t="n">
        <v>46112</v>
      </c>
      <c r="AC74" s="9" t="n"/>
      <c r="AD74" s="9">
        <f>T74-AA74</f>
        <v/>
      </c>
      <c r="AE74" s="9">
        <f>U74-AB74</f>
        <v/>
      </c>
      <c r="AF74" s="9">
        <f>V74-AC74</f>
        <v/>
      </c>
    </row>
    <row r="75">
      <c r="A75">
        <f>E75&amp;F75</f>
        <v/>
      </c>
      <c r="B75">
        <f>G75&amp;F75</f>
        <v/>
      </c>
      <c r="C75" s="4">
        <f>VLOOKUP(D75,Sheet1!$A$1:$B$4,2,FALSE)</f>
        <v/>
      </c>
      <c r="D75" s="4" t="inlineStr">
        <is>
          <t>ROTTERDAM</t>
        </is>
      </c>
      <c r="E75" s="4" t="inlineStr">
        <is>
          <t>ROTTERDAM</t>
        </is>
      </c>
      <c r="F75" s="4" t="inlineStr">
        <is>
          <t>SAVANNAH, GA</t>
        </is>
      </c>
      <c r="G75" s="4" t="inlineStr">
        <is>
          <t>MEMPHIS, TN</t>
        </is>
      </c>
      <c r="H75" s="5">
        <f>VLOOKUP($A75,$A$5:$J$34,8,FALSE)</f>
        <v/>
      </c>
      <c r="I75" s="5">
        <f>VLOOKUP($A75,$A$5:$J$34,8,FALSE)</f>
        <v/>
      </c>
      <c r="J75" s="5">
        <f>VLOOKUP($A75,$A$5:$J$34,9,FALSE)</f>
        <v/>
      </c>
      <c r="K75" s="5">
        <f>VLOOKUP($B75,'US inland'!$A$7:$G$27,6,FALSE)</f>
        <v/>
      </c>
      <c r="L75" s="5">
        <f>VLOOKUP($B75,'US inland'!$A$7:$G$27,7,FALSE)</f>
        <v/>
      </c>
      <c r="M75" s="5">
        <f>VLOOKUP($B75,'US inland'!$A$7:$G$27,7,FALSE)</f>
        <v/>
      </c>
      <c r="N75" s="6">
        <f>VLOOKUP($F75,$F$19:$S$34,9,FALSE)</f>
        <v/>
      </c>
      <c r="O75" s="5">
        <f>VLOOKUP($F75,$F$19:$S$34,10,FALSE)</f>
        <v/>
      </c>
      <c r="P75" s="5">
        <f>VLOOKUP($F75,$F$19:$S$34,11,FALSE)</f>
        <v/>
      </c>
      <c r="Q75" s="5">
        <f>VLOOKUP($F75,$F$19:$S$34,12,FALSE)</f>
        <v/>
      </c>
      <c r="R75" s="5">
        <f>VLOOKUP($F75,$F$19:$S$34,13,FALSE)</f>
        <v/>
      </c>
      <c r="S75" s="5">
        <f>VLOOKUP($F75,$F$19:$S$34,14,FALSE)</f>
        <v/>
      </c>
      <c r="T75" s="9">
        <f>SUM(H75,K75,N75,Q75)</f>
        <v/>
      </c>
      <c r="U75" s="9">
        <f>SUM(I75,L75,O75,R75)</f>
        <v/>
      </c>
      <c r="V75" s="9">
        <f>SUM(J75,M75,P75,S75)</f>
        <v/>
      </c>
      <c r="W75" s="3" t="n">
        <v>46082</v>
      </c>
      <c r="X75" s="3" t="n">
        <v>46112</v>
      </c>
      <c r="Y75" s="5" t="n"/>
      <c r="AA75" s="13" t="n">
        <v>46082</v>
      </c>
      <c r="AB75" s="13" t="n">
        <v>46112</v>
      </c>
      <c r="AC75" s="9" t="n"/>
      <c r="AD75" s="9">
        <f>T75-AA75</f>
        <v/>
      </c>
      <c r="AE75" s="9">
        <f>U75-AB75</f>
        <v/>
      </c>
      <c r="AF75" s="9">
        <f>V75-AC75</f>
        <v/>
      </c>
    </row>
    <row r="76">
      <c r="A76">
        <f>E76&amp;F76</f>
        <v/>
      </c>
      <c r="B76">
        <f>G76&amp;F76</f>
        <v/>
      </c>
      <c r="C76" s="4">
        <f>VLOOKUP(D76,Sheet1!$A$1:$B$4,2,FALSE)</f>
        <v/>
      </c>
      <c r="D76" s="4" t="inlineStr">
        <is>
          <t>ROTTERDAM</t>
        </is>
      </c>
      <c r="E76" s="4" t="inlineStr">
        <is>
          <t>ROTTERDAM</t>
        </is>
      </c>
      <c r="F76" s="4" t="inlineStr">
        <is>
          <t>NEW YORK, NY</t>
        </is>
      </c>
      <c r="G76" s="4" t="inlineStr">
        <is>
          <t>MINNEAPOLIS, MN</t>
        </is>
      </c>
      <c r="H76" s="5">
        <f>VLOOKUP($A76,$A$5:$J$34,8,FALSE)</f>
        <v/>
      </c>
      <c r="I76" s="5">
        <f>VLOOKUP($A76,$A$5:$J$34,8,FALSE)</f>
        <v/>
      </c>
      <c r="J76" s="5">
        <f>VLOOKUP($A76,$A$5:$J$34,9,FALSE)</f>
        <v/>
      </c>
      <c r="K76" s="5">
        <f>VLOOKUP($B76,'US inland'!$A$7:$G$27,6,FALSE)</f>
        <v/>
      </c>
      <c r="L76" s="5">
        <f>VLOOKUP($B76,'US inland'!$A$7:$G$27,7,FALSE)</f>
        <v/>
      </c>
      <c r="M76" s="5">
        <f>VLOOKUP($B76,'US inland'!$A$7:$G$27,7,FALSE)</f>
        <v/>
      </c>
      <c r="N76" s="6">
        <f>VLOOKUP($F76,$F$19:$S$34,9,FALSE)</f>
        <v/>
      </c>
      <c r="O76" s="5">
        <f>VLOOKUP($F76,$F$19:$S$34,10,FALSE)</f>
        <v/>
      </c>
      <c r="P76" s="5">
        <f>VLOOKUP($F76,$F$19:$S$34,11,FALSE)</f>
        <v/>
      </c>
      <c r="Q76" s="5">
        <f>VLOOKUP($F76,$F$19:$S$34,12,FALSE)</f>
        <v/>
      </c>
      <c r="R76" s="5">
        <f>VLOOKUP($F76,$F$19:$S$34,13,FALSE)</f>
        <v/>
      </c>
      <c r="S76" s="5">
        <f>VLOOKUP($F76,$F$19:$S$34,14,FALSE)</f>
        <v/>
      </c>
      <c r="T76" s="9">
        <f>SUM(H76,K76,N76,Q76)</f>
        <v/>
      </c>
      <c r="U76" s="9">
        <f>SUM(I76,L76,O76,R76)</f>
        <v/>
      </c>
      <c r="V76" s="9">
        <f>SUM(J76,M76,P76,S76)</f>
        <v/>
      </c>
      <c r="W76" s="3" t="n">
        <v>46082</v>
      </c>
      <c r="X76" s="3" t="n">
        <v>46112</v>
      </c>
      <c r="Y76" s="5" t="n"/>
      <c r="AA76" s="13" t="n">
        <v>46082</v>
      </c>
      <c r="AB76" s="13" t="n">
        <v>46112</v>
      </c>
      <c r="AC76" s="9" t="n"/>
      <c r="AD76" s="9">
        <f>T76-AA76</f>
        <v/>
      </c>
      <c r="AE76" s="9">
        <f>U76-AB76</f>
        <v/>
      </c>
      <c r="AF76" s="9">
        <f>V76-AC76</f>
        <v/>
      </c>
    </row>
    <row r="77">
      <c r="A77">
        <f>E77&amp;F77</f>
        <v/>
      </c>
      <c r="B77">
        <f>G77&amp;F77</f>
        <v/>
      </c>
      <c r="C77" s="4">
        <f>VLOOKUP(D77,Sheet1!$A$1:$B$4,2,FALSE)</f>
        <v/>
      </c>
      <c r="D77" s="4" t="inlineStr">
        <is>
          <t>ROTTERDAM</t>
        </is>
      </c>
      <c r="E77" s="4" t="inlineStr">
        <is>
          <t>ROTTERDAM</t>
        </is>
      </c>
      <c r="F77" s="4" t="inlineStr">
        <is>
          <t>SAVANNAH, GA</t>
        </is>
      </c>
      <c r="G77" s="4" t="inlineStr">
        <is>
          <t>NASHVILLE, TN</t>
        </is>
      </c>
      <c r="H77" s="5">
        <f>VLOOKUP($A77,$A$5:$J$34,8,FALSE)</f>
        <v/>
      </c>
      <c r="I77" s="5">
        <f>VLOOKUP($A77,$A$5:$J$34,8,FALSE)</f>
        <v/>
      </c>
      <c r="J77" s="5">
        <f>VLOOKUP($A77,$A$5:$J$34,9,FALSE)</f>
        <v/>
      </c>
      <c r="K77" s="5">
        <f>VLOOKUP($B77,'US inland'!$A$7:$G$27,6,FALSE)</f>
        <v/>
      </c>
      <c r="L77" s="5">
        <f>VLOOKUP($B77,'US inland'!$A$7:$G$27,7,FALSE)</f>
        <v/>
      </c>
      <c r="M77" s="5">
        <f>VLOOKUP($B77,'US inland'!$A$7:$G$27,7,FALSE)</f>
        <v/>
      </c>
      <c r="N77" s="6">
        <f>VLOOKUP($F77,$F$19:$S$34,9,FALSE)</f>
        <v/>
      </c>
      <c r="O77" s="5">
        <f>VLOOKUP($F77,$F$19:$S$34,10,FALSE)</f>
        <v/>
      </c>
      <c r="P77" s="5">
        <f>VLOOKUP($F77,$F$19:$S$34,11,FALSE)</f>
        <v/>
      </c>
      <c r="Q77" s="5">
        <f>VLOOKUP($F77,$F$19:$S$34,12,FALSE)</f>
        <v/>
      </c>
      <c r="R77" s="5">
        <f>VLOOKUP($F77,$F$19:$S$34,13,FALSE)</f>
        <v/>
      </c>
      <c r="S77" s="5">
        <f>VLOOKUP($F77,$F$19:$S$34,14,FALSE)</f>
        <v/>
      </c>
      <c r="T77" s="9">
        <f>SUM(H77,K77,N77,Q77)</f>
        <v/>
      </c>
      <c r="U77" s="9">
        <f>SUM(I77,L77,O77,R77)</f>
        <v/>
      </c>
      <c r="V77" s="9">
        <f>SUM(J77,M77,P77,S77)</f>
        <v/>
      </c>
      <c r="W77" s="3" t="n">
        <v>46082</v>
      </c>
      <c r="X77" s="3" t="n">
        <v>46112</v>
      </c>
      <c r="Y77" s="5" t="n"/>
      <c r="AA77" s="13" t="n">
        <v>46082</v>
      </c>
      <c r="AB77" s="13" t="n">
        <v>46112</v>
      </c>
      <c r="AC77" s="9" t="n"/>
      <c r="AD77" s="9">
        <f>T77-AA77</f>
        <v/>
      </c>
      <c r="AE77" s="9">
        <f>U77-AB77</f>
        <v/>
      </c>
      <c r="AF77" s="9">
        <f>V77-AC77</f>
        <v/>
      </c>
    </row>
    <row r="78">
      <c r="A78">
        <f>E78&amp;F78</f>
        <v/>
      </c>
      <c r="B78">
        <f>G78&amp;F78</f>
        <v/>
      </c>
      <c r="C78" s="4">
        <f>VLOOKUP(D78,Sheet1!$A$1:$B$4,2,FALSE)</f>
        <v/>
      </c>
      <c r="D78" s="4" t="inlineStr">
        <is>
          <t>ROTTERDAM</t>
        </is>
      </c>
      <c r="E78" s="4" t="inlineStr">
        <is>
          <t>ROTTERDAM</t>
        </is>
      </c>
      <c r="F78" s="4" t="inlineStr">
        <is>
          <t>NEW YORK, NY</t>
        </is>
      </c>
      <c r="G78" s="4" t="inlineStr">
        <is>
          <t>PITTSBURGH, PA</t>
        </is>
      </c>
      <c r="H78" s="5">
        <f>VLOOKUP($A78,$A$5:$J$34,8,FALSE)</f>
        <v/>
      </c>
      <c r="I78" s="5">
        <f>VLOOKUP($A78,$A$5:$J$34,8,FALSE)</f>
        <v/>
      </c>
      <c r="J78" s="5">
        <f>VLOOKUP($A78,$A$5:$J$34,9,FALSE)</f>
        <v/>
      </c>
      <c r="K78" s="5">
        <f>VLOOKUP($B78,'US inland'!$A$7:$G$27,6,FALSE)</f>
        <v/>
      </c>
      <c r="L78" s="5">
        <f>VLOOKUP($B78,'US inland'!$A$7:$G$27,7,FALSE)</f>
        <v/>
      </c>
      <c r="M78" s="5">
        <f>VLOOKUP($B78,'US inland'!$A$7:$G$27,7,FALSE)</f>
        <v/>
      </c>
      <c r="N78" s="6">
        <f>VLOOKUP($F78,$F$19:$S$34,9,FALSE)</f>
        <v/>
      </c>
      <c r="O78" s="5">
        <f>VLOOKUP($F78,$F$19:$S$34,10,FALSE)</f>
        <v/>
      </c>
      <c r="P78" s="5">
        <f>VLOOKUP($F78,$F$19:$S$34,11,FALSE)</f>
        <v/>
      </c>
      <c r="Q78" s="5">
        <f>VLOOKUP($F78,$F$19:$S$34,12,FALSE)</f>
        <v/>
      </c>
      <c r="R78" s="5">
        <f>VLOOKUP($F78,$F$19:$S$34,13,FALSE)</f>
        <v/>
      </c>
      <c r="S78" s="5">
        <f>VLOOKUP($F78,$F$19:$S$34,14,FALSE)</f>
        <v/>
      </c>
      <c r="T78" s="9">
        <f>SUM(H78,K78,N78,Q78)</f>
        <v/>
      </c>
      <c r="U78" s="9">
        <f>SUM(I78,L78,O78,R78)</f>
        <v/>
      </c>
      <c r="V78" s="9">
        <f>SUM(J78,M78,P78,S78)</f>
        <v/>
      </c>
      <c r="W78" s="3" t="n">
        <v>46082</v>
      </c>
      <c r="X78" s="3" t="n">
        <v>46112</v>
      </c>
      <c r="Y78" s="5" t="n"/>
      <c r="AA78" s="13" t="n">
        <v>46082</v>
      </c>
      <c r="AB78" s="13" t="n">
        <v>46112</v>
      </c>
      <c r="AC78" s="9" t="n"/>
      <c r="AD78" s="9">
        <f>T78-AA78</f>
        <v/>
      </c>
      <c r="AE78" s="9">
        <f>U78-AB78</f>
        <v/>
      </c>
      <c r="AF78" s="9">
        <f>V78-AC78</f>
        <v/>
      </c>
    </row>
    <row r="79">
      <c r="A79">
        <f>E79&amp;F79</f>
        <v/>
      </c>
      <c r="B79">
        <f>G79&amp;F79</f>
        <v/>
      </c>
      <c r="C79" s="4">
        <f>VLOOKUP(D79,Sheet1!$A$1:$B$4,2,FALSE)</f>
        <v/>
      </c>
      <c r="D79" s="4" t="inlineStr">
        <is>
          <t>ANTWERP</t>
        </is>
      </c>
      <c r="E79" s="4" t="inlineStr">
        <is>
          <t>ANTWERP</t>
        </is>
      </c>
      <c r="F79" s="4" t="inlineStr">
        <is>
          <t>NEW YORK, NY</t>
        </is>
      </c>
      <c r="G79" s="4" t="inlineStr">
        <is>
          <t>DETROIT, MI</t>
        </is>
      </c>
      <c r="H79" s="5">
        <f>VLOOKUP($A79,$A$5:$J$34,8,FALSE)</f>
        <v/>
      </c>
      <c r="I79" s="5">
        <f>VLOOKUP($A79,$A$5:$J$34,8,FALSE)</f>
        <v/>
      </c>
      <c r="J79" s="5">
        <f>VLOOKUP($A79,$A$5:$J$34,9,FALSE)</f>
        <v/>
      </c>
      <c r="K79" s="5">
        <f>VLOOKUP($B79,'US inland'!$A$7:$G$27,6,FALSE)</f>
        <v/>
      </c>
      <c r="L79" s="5">
        <f>VLOOKUP($B79,'US inland'!$A$7:$G$27,7,FALSE)</f>
        <v/>
      </c>
      <c r="M79" s="5">
        <f>VLOOKUP($B79,'US inland'!$A$7:$G$27,7,FALSE)</f>
        <v/>
      </c>
      <c r="N79" s="6">
        <f>VLOOKUP($F79,$F$19:$S$34,9,FALSE)</f>
        <v/>
      </c>
      <c r="O79" s="5">
        <f>VLOOKUP($F79,$F$19:$S$34,10,FALSE)</f>
        <v/>
      </c>
      <c r="P79" s="5">
        <f>VLOOKUP($F79,$F$19:$S$34,11,FALSE)</f>
        <v/>
      </c>
      <c r="Q79" s="5">
        <f>VLOOKUP($F79,$F$19:$S$34,12,FALSE)</f>
        <v/>
      </c>
      <c r="R79" s="5">
        <f>VLOOKUP($F79,$F$19:$S$34,13,FALSE)</f>
        <v/>
      </c>
      <c r="S79" s="5">
        <f>VLOOKUP($F79,$F$19:$S$34,14,FALSE)</f>
        <v/>
      </c>
      <c r="T79" s="9">
        <f>SUM(H79,K79,N79,Q79)</f>
        <v/>
      </c>
      <c r="U79" s="9">
        <f>SUM(I79,L79,O79,R79)</f>
        <v/>
      </c>
      <c r="V79" s="9">
        <f>SUM(J79,M79,P79,S79)</f>
        <v/>
      </c>
      <c r="W79" s="3" t="n">
        <v>46082</v>
      </c>
      <c r="X79" s="3" t="n">
        <v>46112</v>
      </c>
      <c r="Y79" s="5" t="n"/>
      <c r="AA79" s="13" t="n">
        <v>46082</v>
      </c>
      <c r="AB79" s="13" t="n">
        <v>46112</v>
      </c>
      <c r="AC79" s="9" t="n"/>
      <c r="AD79" s="9">
        <f>T79-AA79</f>
        <v/>
      </c>
      <c r="AE79" s="9">
        <f>U79-AB79</f>
        <v/>
      </c>
      <c r="AF79" s="9">
        <f>V79-AC79</f>
        <v/>
      </c>
    </row>
    <row r="80">
      <c r="A80">
        <f>E80&amp;F80</f>
        <v/>
      </c>
      <c r="B80">
        <f>G80&amp;F80</f>
        <v/>
      </c>
      <c r="C80" s="4">
        <f>VLOOKUP(D80,Sheet1!$A$1:$B$4,2,FALSE)</f>
        <v/>
      </c>
      <c r="D80" s="4" t="inlineStr">
        <is>
          <t>ANTWERP</t>
        </is>
      </c>
      <c r="E80" s="4" t="inlineStr">
        <is>
          <t>ANTWERP</t>
        </is>
      </c>
      <c r="F80" s="4" t="inlineStr">
        <is>
          <t>CHARLESTON, SC</t>
        </is>
      </c>
      <c r="G80" s="4" t="inlineStr">
        <is>
          <t>GREER, SC</t>
        </is>
      </c>
      <c r="H80" s="5">
        <f>VLOOKUP($A80,$A$5:$J$34,8,FALSE)</f>
        <v/>
      </c>
      <c r="I80" s="5">
        <f>VLOOKUP($A80,$A$5:$J$34,8,FALSE)</f>
        <v/>
      </c>
      <c r="J80" s="5">
        <f>VLOOKUP($A80,$A$5:$J$34,9,FALSE)</f>
        <v/>
      </c>
      <c r="K80" s="5">
        <f>VLOOKUP($B80,'US inland'!$A$7:$G$27,6,FALSE)</f>
        <v/>
      </c>
      <c r="L80" s="5">
        <f>VLOOKUP($B80,'US inland'!$A$7:$G$27,7,FALSE)</f>
        <v/>
      </c>
      <c r="M80" s="5">
        <f>VLOOKUP($B80,'US inland'!$A$7:$G$27,7,FALSE)</f>
        <v/>
      </c>
      <c r="N80" s="6">
        <f>VLOOKUP($F80,$F$19:$S$34,9,FALSE)</f>
        <v/>
      </c>
      <c r="O80" s="5">
        <f>VLOOKUP($F80,$F$19:$S$34,10,FALSE)</f>
        <v/>
      </c>
      <c r="P80" s="5">
        <f>VLOOKUP($F80,$F$19:$S$34,11,FALSE)</f>
        <v/>
      </c>
      <c r="Q80" s="5">
        <f>VLOOKUP($F80,$F$19:$S$34,12,FALSE)</f>
        <v/>
      </c>
      <c r="R80" s="5">
        <f>VLOOKUP($F80,$F$19:$S$34,13,FALSE)</f>
        <v/>
      </c>
      <c r="S80" s="5">
        <f>VLOOKUP($F80,$F$19:$S$34,14,FALSE)</f>
        <v/>
      </c>
      <c r="T80" s="9">
        <f>SUM(H80,K80,N80,Q80)</f>
        <v/>
      </c>
      <c r="U80" s="9">
        <f>SUM(I80,L80,O80,R80)</f>
        <v/>
      </c>
      <c r="V80" s="9">
        <f>SUM(J80,M80,P80,S80)</f>
        <v/>
      </c>
      <c r="W80" s="3" t="n">
        <v>46082</v>
      </c>
      <c r="X80" s="3" t="n">
        <v>46112</v>
      </c>
      <c r="Y80" s="5" t="n"/>
      <c r="AA80" s="13" t="n">
        <v>46082</v>
      </c>
      <c r="AB80" s="13" t="n">
        <v>46112</v>
      </c>
      <c r="AC80" s="9" t="n"/>
      <c r="AD80" s="9">
        <f>T80-AA80</f>
        <v/>
      </c>
      <c r="AE80" s="9">
        <f>U80-AB80</f>
        <v/>
      </c>
      <c r="AF80" s="9">
        <f>V80-AC80</f>
        <v/>
      </c>
    </row>
    <row r="81">
      <c r="A81">
        <f>E81&amp;F81</f>
        <v/>
      </c>
      <c r="B81">
        <f>G81&amp;F81</f>
        <v/>
      </c>
      <c r="C81" s="4">
        <f>VLOOKUP(D81,Sheet1!$A$1:$B$4,2,FALSE)</f>
        <v/>
      </c>
      <c r="D81" s="4" t="inlineStr">
        <is>
          <t>ANTWERP</t>
        </is>
      </c>
      <c r="E81" s="4" t="inlineStr">
        <is>
          <t>ANTWERP</t>
        </is>
      </c>
      <c r="F81" s="4" t="inlineStr">
        <is>
          <t>NEW YORK, NY</t>
        </is>
      </c>
      <c r="G81" s="4" t="inlineStr">
        <is>
          <t>INDIANAPOLIS, IN</t>
        </is>
      </c>
      <c r="H81" s="5">
        <f>VLOOKUP($A81,$A$5:$J$34,8,FALSE)</f>
        <v/>
      </c>
      <c r="I81" s="5">
        <f>VLOOKUP($A81,$A$5:$J$34,8,FALSE)</f>
        <v/>
      </c>
      <c r="J81" s="5">
        <f>VLOOKUP($A81,$A$5:$J$34,9,FALSE)</f>
        <v/>
      </c>
      <c r="K81" s="5">
        <f>VLOOKUP($B81,'US inland'!$A$7:$G$27,6,FALSE)</f>
        <v/>
      </c>
      <c r="L81" s="5">
        <f>VLOOKUP($B81,'US inland'!$A$7:$G$27,7,FALSE)</f>
        <v/>
      </c>
      <c r="M81" s="5">
        <f>VLOOKUP($B81,'US inland'!$A$7:$G$27,7,FALSE)</f>
        <v/>
      </c>
      <c r="N81" s="6">
        <f>VLOOKUP($F81,$F$19:$S$34,9,FALSE)</f>
        <v/>
      </c>
      <c r="O81" s="5">
        <f>VLOOKUP($F81,$F$19:$S$34,10,FALSE)</f>
        <v/>
      </c>
      <c r="P81" s="5">
        <f>VLOOKUP($F81,$F$19:$S$34,11,FALSE)</f>
        <v/>
      </c>
      <c r="Q81" s="5">
        <f>VLOOKUP($F81,$F$19:$S$34,12,FALSE)</f>
        <v/>
      </c>
      <c r="R81" s="5">
        <f>VLOOKUP($F81,$F$19:$S$34,13,FALSE)</f>
        <v/>
      </c>
      <c r="S81" s="5">
        <f>VLOOKUP($F81,$F$19:$S$34,14,FALSE)</f>
        <v/>
      </c>
      <c r="T81" s="9">
        <f>SUM(H81,K81,N81,Q81)</f>
        <v/>
      </c>
      <c r="U81" s="9">
        <f>SUM(I81,L81,O81,R81)</f>
        <v/>
      </c>
      <c r="V81" s="9">
        <f>SUM(J81,M81,P81,S81)</f>
        <v/>
      </c>
      <c r="W81" s="3" t="n">
        <v>46082</v>
      </c>
      <c r="X81" s="3" t="n">
        <v>46112</v>
      </c>
      <c r="Y81" s="5" t="n"/>
      <c r="AA81" s="13" t="n">
        <v>46082</v>
      </c>
      <c r="AB81" s="13" t="n">
        <v>46112</v>
      </c>
      <c r="AC81" s="9" t="n"/>
      <c r="AD81" s="9">
        <f>T81-AA81</f>
        <v/>
      </c>
      <c r="AE81" s="9">
        <f>U81-AB81</f>
        <v/>
      </c>
      <c r="AF81" s="9">
        <f>V81-AC81</f>
        <v/>
      </c>
    </row>
    <row r="82">
      <c r="A82">
        <f>E82&amp;F82</f>
        <v/>
      </c>
      <c r="B82">
        <f>G82&amp;F82</f>
        <v/>
      </c>
      <c r="C82" s="4">
        <f>VLOOKUP(D82,Sheet1!$A$1:$B$4,2,FALSE)</f>
        <v/>
      </c>
      <c r="D82" s="4" t="inlineStr">
        <is>
          <t>ANTWERP</t>
        </is>
      </c>
      <c r="E82" s="4" t="inlineStr">
        <is>
          <t>ANTWERP</t>
        </is>
      </c>
      <c r="F82" s="4" t="inlineStr">
        <is>
          <t>NEW YORK, NY</t>
        </is>
      </c>
      <c r="G82" s="4" t="inlineStr">
        <is>
          <t>KANSAS CITY, MO</t>
        </is>
      </c>
      <c r="H82" s="5">
        <f>VLOOKUP($A82,$A$5:$J$34,8,FALSE)</f>
        <v/>
      </c>
      <c r="I82" s="5">
        <f>VLOOKUP($A82,$A$5:$J$34,8,FALSE)</f>
        <v/>
      </c>
      <c r="J82" s="5">
        <f>VLOOKUP($A82,$A$5:$J$34,9,FALSE)</f>
        <v/>
      </c>
      <c r="K82" s="5">
        <f>VLOOKUP($B82,'US inland'!$A$7:$G$27,6,FALSE)</f>
        <v/>
      </c>
      <c r="L82" s="5">
        <f>VLOOKUP($B82,'US inland'!$A$7:$G$27,7,FALSE)</f>
        <v/>
      </c>
      <c r="M82" s="5">
        <f>VLOOKUP($B82,'US inland'!$A$7:$G$27,7,FALSE)</f>
        <v/>
      </c>
      <c r="N82" s="6">
        <f>VLOOKUP($F82,$F$19:$S$34,9,FALSE)</f>
        <v/>
      </c>
      <c r="O82" s="5">
        <f>VLOOKUP($F82,$F$19:$S$34,10,FALSE)</f>
        <v/>
      </c>
      <c r="P82" s="5">
        <f>VLOOKUP($F82,$F$19:$S$34,11,FALSE)</f>
        <v/>
      </c>
      <c r="Q82" s="5">
        <f>VLOOKUP($F82,$F$19:$S$34,12,FALSE)</f>
        <v/>
      </c>
      <c r="R82" s="5">
        <f>VLOOKUP($F82,$F$19:$S$34,13,FALSE)</f>
        <v/>
      </c>
      <c r="S82" s="5">
        <f>VLOOKUP($F82,$F$19:$S$34,14,FALSE)</f>
        <v/>
      </c>
      <c r="T82" s="9">
        <f>SUM(H82,K82,N82,Q82)</f>
        <v/>
      </c>
      <c r="U82" s="9">
        <f>SUM(I82,L82,O82,R82)</f>
        <v/>
      </c>
      <c r="V82" s="9">
        <f>SUM(J82,M82,P82,S82)</f>
        <v/>
      </c>
      <c r="W82" s="3" t="n">
        <v>46082</v>
      </c>
      <c r="X82" s="3" t="n">
        <v>46112</v>
      </c>
      <c r="Y82" s="5" t="n"/>
      <c r="AA82" s="13" t="n">
        <v>46082</v>
      </c>
      <c r="AB82" s="13" t="n">
        <v>46112</v>
      </c>
      <c r="AC82" s="9" t="n"/>
      <c r="AD82" s="9">
        <f>T82-AA82</f>
        <v/>
      </c>
      <c r="AE82" s="9">
        <f>U82-AB82</f>
        <v/>
      </c>
      <c r="AF82" s="9">
        <f>V82-AC82</f>
        <v/>
      </c>
    </row>
    <row r="83">
      <c r="A83">
        <f>E83&amp;F83</f>
        <v/>
      </c>
      <c r="B83">
        <f>G83&amp;F83</f>
        <v/>
      </c>
      <c r="C83" s="4">
        <f>VLOOKUP(D83,Sheet1!$A$1:$B$4,2,FALSE)</f>
        <v/>
      </c>
      <c r="D83" s="4" t="inlineStr">
        <is>
          <t>ANTWERP</t>
        </is>
      </c>
      <c r="E83" s="4" t="inlineStr">
        <is>
          <t>ANTWERP</t>
        </is>
      </c>
      <c r="F83" s="4" t="inlineStr">
        <is>
          <t>HOUSTON, TX</t>
        </is>
      </c>
      <c r="G83" s="4" t="inlineStr">
        <is>
          <t>LONG BEACH, CA</t>
        </is>
      </c>
      <c r="H83" s="5">
        <f>VLOOKUP($A83,$A$5:$J$34,8,FALSE)</f>
        <v/>
      </c>
      <c r="I83" s="5">
        <f>VLOOKUP($A83,$A$5:$J$34,8,FALSE)</f>
        <v/>
      </c>
      <c r="J83" s="5">
        <f>VLOOKUP($A83,$A$5:$J$34,9,FALSE)</f>
        <v/>
      </c>
      <c r="K83" s="5">
        <f>VLOOKUP($B83,'US inland'!$A$7:$G$27,6,FALSE)</f>
        <v/>
      </c>
      <c r="L83" s="5">
        <f>VLOOKUP($B83,'US inland'!$A$7:$G$27,7,FALSE)</f>
        <v/>
      </c>
      <c r="M83" s="5">
        <f>VLOOKUP($B83,'US inland'!$A$7:$G$27,7,FALSE)</f>
        <v/>
      </c>
      <c r="N83" s="6">
        <f>VLOOKUP($F83,$F$19:$S$34,9,FALSE)</f>
        <v/>
      </c>
      <c r="O83" s="5">
        <f>VLOOKUP($F83,$F$19:$S$34,10,FALSE)</f>
        <v/>
      </c>
      <c r="P83" s="5">
        <f>VLOOKUP($F83,$F$19:$S$34,11,FALSE)</f>
        <v/>
      </c>
      <c r="Q83" s="5">
        <f>VLOOKUP($F83,$F$19:$S$34,12,FALSE)</f>
        <v/>
      </c>
      <c r="R83" s="5">
        <f>VLOOKUP($F83,$F$19:$S$34,13,FALSE)</f>
        <v/>
      </c>
      <c r="S83" s="5">
        <f>VLOOKUP($F83,$F$19:$S$34,14,FALSE)</f>
        <v/>
      </c>
      <c r="T83" s="9">
        <f>SUM(H83,K83,N83,Q83)</f>
        <v/>
      </c>
      <c r="U83" s="9">
        <f>SUM(I83,L83,O83,R83)</f>
        <v/>
      </c>
      <c r="V83" s="9">
        <f>SUM(J83,M83,P83,S83)</f>
        <v/>
      </c>
      <c r="W83" s="3" t="n">
        <v>46082</v>
      </c>
      <c r="X83" s="3" t="n">
        <v>46112</v>
      </c>
      <c r="Y83" s="5" t="n"/>
      <c r="AA83" s="13" t="n">
        <v>46082</v>
      </c>
      <c r="AB83" s="13" t="n">
        <v>46112</v>
      </c>
      <c r="AC83" s="9" t="n"/>
      <c r="AD83" s="9">
        <f>T83-AA83</f>
        <v/>
      </c>
      <c r="AE83" s="9">
        <f>U83-AB83</f>
        <v/>
      </c>
      <c r="AF83" s="9">
        <f>V83-AC83</f>
        <v/>
      </c>
    </row>
    <row r="84">
      <c r="A84">
        <f>E84&amp;F84</f>
        <v/>
      </c>
      <c r="B84">
        <f>G84&amp;F84</f>
        <v/>
      </c>
      <c r="C84" s="4">
        <f>VLOOKUP(D84,Sheet1!$A$1:$B$4,2,FALSE)</f>
        <v/>
      </c>
      <c r="D84" s="4" t="inlineStr">
        <is>
          <t>ANTWERP</t>
        </is>
      </c>
      <c r="E84" s="4" t="inlineStr">
        <is>
          <t>ANTWERP</t>
        </is>
      </c>
      <c r="F84" s="4" t="inlineStr">
        <is>
          <t>NORFOLK, VA</t>
        </is>
      </c>
      <c r="G84" s="4" t="inlineStr">
        <is>
          <t>LOUISVILLE, KY</t>
        </is>
      </c>
      <c r="H84" s="5">
        <f>VLOOKUP($A84,$A$5:$J$34,8,FALSE)</f>
        <v/>
      </c>
      <c r="I84" s="5">
        <f>VLOOKUP($A84,$A$5:$J$34,8,FALSE)</f>
        <v/>
      </c>
      <c r="J84" s="5">
        <f>VLOOKUP($A84,$A$5:$J$34,9,FALSE)</f>
        <v/>
      </c>
      <c r="K84" s="5">
        <f>VLOOKUP($B84,'US inland'!$A$7:$G$27,6,FALSE)</f>
        <v/>
      </c>
      <c r="L84" s="5">
        <f>VLOOKUP($B84,'US inland'!$A$7:$G$27,7,FALSE)</f>
        <v/>
      </c>
      <c r="M84" s="5">
        <f>VLOOKUP($B84,'US inland'!$A$7:$G$27,7,FALSE)</f>
        <v/>
      </c>
      <c r="N84" s="6">
        <f>VLOOKUP($F84,$F$19:$S$34,9,FALSE)</f>
        <v/>
      </c>
      <c r="O84" s="5">
        <f>VLOOKUP($F84,$F$19:$S$34,10,FALSE)</f>
        <v/>
      </c>
      <c r="P84" s="5">
        <f>VLOOKUP($F84,$F$19:$S$34,11,FALSE)</f>
        <v/>
      </c>
      <c r="Q84" s="5">
        <f>VLOOKUP($F84,$F$19:$S$34,12,FALSE)</f>
        <v/>
      </c>
      <c r="R84" s="5">
        <f>VLOOKUP($F84,$F$19:$S$34,13,FALSE)</f>
        <v/>
      </c>
      <c r="S84" s="5">
        <f>VLOOKUP($F84,$F$19:$S$34,14,FALSE)</f>
        <v/>
      </c>
      <c r="T84" s="9">
        <f>SUM(H84,K84,N84,Q84)</f>
        <v/>
      </c>
      <c r="U84" s="9">
        <f>SUM(I84,L84,O84,R84)</f>
        <v/>
      </c>
      <c r="V84" s="9">
        <f>SUM(J84,M84,P84,S84)</f>
        <v/>
      </c>
      <c r="W84" s="3" t="n">
        <v>46082</v>
      </c>
      <c r="X84" s="3" t="n">
        <v>46112</v>
      </c>
      <c r="Y84" s="5" t="n"/>
      <c r="AA84" s="13" t="n">
        <v>46082</v>
      </c>
      <c r="AB84" s="13" t="n">
        <v>46112</v>
      </c>
      <c r="AC84" s="9" t="n"/>
      <c r="AD84" s="9">
        <f>T84-AA84</f>
        <v/>
      </c>
      <c r="AE84" s="9">
        <f>U84-AB84</f>
        <v/>
      </c>
      <c r="AF84" s="9">
        <f>V84-AC84</f>
        <v/>
      </c>
    </row>
    <row r="85">
      <c r="A85">
        <f>E85&amp;F85</f>
        <v/>
      </c>
      <c r="B85">
        <f>G85&amp;F85</f>
        <v/>
      </c>
      <c r="C85" s="4">
        <f>VLOOKUP(D85,Sheet1!$A$1:$B$4,2,FALSE)</f>
        <v/>
      </c>
      <c r="D85" s="4" t="inlineStr">
        <is>
          <t>ANTWERP</t>
        </is>
      </c>
      <c r="E85" s="4" t="inlineStr">
        <is>
          <t>ANTWERP</t>
        </is>
      </c>
      <c r="F85" s="4" t="inlineStr">
        <is>
          <t>SAVANNAH, GA</t>
        </is>
      </c>
      <c r="G85" s="4" t="inlineStr">
        <is>
          <t>MEMPHIS, TN</t>
        </is>
      </c>
      <c r="H85" s="5">
        <f>VLOOKUP($A85,$A$5:$J$34,8,FALSE)</f>
        <v/>
      </c>
      <c r="I85" s="5">
        <f>VLOOKUP($A85,$A$5:$J$34,8,FALSE)</f>
        <v/>
      </c>
      <c r="J85" s="5">
        <f>VLOOKUP($A85,$A$5:$J$34,9,FALSE)</f>
        <v/>
      </c>
      <c r="K85" s="5">
        <f>VLOOKUP($B85,'US inland'!$A$7:$G$27,6,FALSE)</f>
        <v/>
      </c>
      <c r="L85" s="5">
        <f>VLOOKUP($B85,'US inland'!$A$7:$G$27,7,FALSE)</f>
        <v/>
      </c>
      <c r="M85" s="5">
        <f>VLOOKUP($B85,'US inland'!$A$7:$G$27,7,FALSE)</f>
        <v/>
      </c>
      <c r="N85" s="6">
        <f>VLOOKUP($F85,$F$19:$S$34,9,FALSE)</f>
        <v/>
      </c>
      <c r="O85" s="5">
        <f>VLOOKUP($F85,$F$19:$S$34,10,FALSE)</f>
        <v/>
      </c>
      <c r="P85" s="5">
        <f>VLOOKUP($F85,$F$19:$S$34,11,FALSE)</f>
        <v/>
      </c>
      <c r="Q85" s="5">
        <f>VLOOKUP($F85,$F$19:$S$34,12,FALSE)</f>
        <v/>
      </c>
      <c r="R85" s="5">
        <f>VLOOKUP($F85,$F$19:$S$34,13,FALSE)</f>
        <v/>
      </c>
      <c r="S85" s="5">
        <f>VLOOKUP($F85,$F$19:$S$34,14,FALSE)</f>
        <v/>
      </c>
      <c r="T85" s="9">
        <f>SUM(H85,K85,N85,Q85)</f>
        <v/>
      </c>
      <c r="U85" s="9">
        <f>SUM(I85,L85,O85,R85)</f>
        <v/>
      </c>
      <c r="V85" s="9">
        <f>SUM(J85,M85,P85,S85)</f>
        <v/>
      </c>
      <c r="W85" s="3" t="n">
        <v>46082</v>
      </c>
      <c r="X85" s="3" t="n">
        <v>46112</v>
      </c>
      <c r="Y85" s="5" t="n"/>
      <c r="AA85" s="13" t="n">
        <v>46082</v>
      </c>
      <c r="AB85" s="13" t="n">
        <v>46112</v>
      </c>
      <c r="AC85" s="9" t="n"/>
      <c r="AD85" s="9">
        <f>T85-AA85</f>
        <v/>
      </c>
      <c r="AE85" s="9">
        <f>U85-AB85</f>
        <v/>
      </c>
      <c r="AF85" s="9">
        <f>V85-AC85</f>
        <v/>
      </c>
    </row>
    <row r="86">
      <c r="A86">
        <f>E86&amp;F86</f>
        <v/>
      </c>
      <c r="B86">
        <f>G86&amp;F86</f>
        <v/>
      </c>
      <c r="C86" s="4">
        <f>VLOOKUP(D86,Sheet1!$A$1:$B$4,2,FALSE)</f>
        <v/>
      </c>
      <c r="D86" s="4" t="inlineStr">
        <is>
          <t>ANTWERP</t>
        </is>
      </c>
      <c r="E86" s="4" t="inlineStr">
        <is>
          <t>ANTWERP</t>
        </is>
      </c>
      <c r="F86" s="4" t="inlineStr">
        <is>
          <t>NEW YORK, NY</t>
        </is>
      </c>
      <c r="G86" s="4" t="inlineStr">
        <is>
          <t>MINNEAPOLIS, MN</t>
        </is>
      </c>
      <c r="H86" s="5">
        <f>VLOOKUP($A86,$A$5:$J$34,8,FALSE)</f>
        <v/>
      </c>
      <c r="I86" s="5">
        <f>VLOOKUP($A86,$A$5:$J$34,8,FALSE)</f>
        <v/>
      </c>
      <c r="J86" s="5">
        <f>VLOOKUP($A86,$A$5:$J$34,9,FALSE)</f>
        <v/>
      </c>
      <c r="K86" s="5">
        <f>VLOOKUP($B86,'US inland'!$A$7:$G$27,6,FALSE)</f>
        <v/>
      </c>
      <c r="L86" s="5">
        <f>VLOOKUP($B86,'US inland'!$A$7:$G$27,7,FALSE)</f>
        <v/>
      </c>
      <c r="M86" s="5">
        <f>VLOOKUP($B86,'US inland'!$A$7:$G$27,7,FALSE)</f>
        <v/>
      </c>
      <c r="N86" s="6">
        <f>VLOOKUP($F86,$F$19:$S$34,9,FALSE)</f>
        <v/>
      </c>
      <c r="O86" s="5">
        <f>VLOOKUP($F86,$F$19:$S$34,10,FALSE)</f>
        <v/>
      </c>
      <c r="P86" s="5">
        <f>VLOOKUP($F86,$F$19:$S$34,11,FALSE)</f>
        <v/>
      </c>
      <c r="Q86" s="5">
        <f>VLOOKUP($F86,$F$19:$S$34,12,FALSE)</f>
        <v/>
      </c>
      <c r="R86" s="5">
        <f>VLOOKUP($F86,$F$19:$S$34,13,FALSE)</f>
        <v/>
      </c>
      <c r="S86" s="5">
        <f>VLOOKUP($F86,$F$19:$S$34,14,FALSE)</f>
        <v/>
      </c>
      <c r="T86" s="9">
        <f>SUM(H86,K86,N86,Q86)</f>
        <v/>
      </c>
      <c r="U86" s="9">
        <f>SUM(I86,L86,O86,R86)</f>
        <v/>
      </c>
      <c r="V86" s="9">
        <f>SUM(J86,M86,P86,S86)</f>
        <v/>
      </c>
      <c r="W86" s="3" t="n">
        <v>46082</v>
      </c>
      <c r="X86" s="3" t="n">
        <v>46112</v>
      </c>
      <c r="Y86" s="5" t="n"/>
      <c r="AA86" s="13" t="n">
        <v>46082</v>
      </c>
      <c r="AB86" s="13" t="n">
        <v>46112</v>
      </c>
      <c r="AC86" s="9" t="n"/>
      <c r="AD86" s="9">
        <f>T86-AA86</f>
        <v/>
      </c>
      <c r="AE86" s="9">
        <f>U86-AB86</f>
        <v/>
      </c>
      <c r="AF86" s="9">
        <f>V86-AC86</f>
        <v/>
      </c>
    </row>
    <row r="87">
      <c r="A87">
        <f>E87&amp;F87</f>
        <v/>
      </c>
      <c r="B87">
        <f>G87&amp;F87</f>
        <v/>
      </c>
      <c r="C87" s="4">
        <f>VLOOKUP(D87,Sheet1!$A$1:$B$4,2,FALSE)</f>
        <v/>
      </c>
      <c r="D87" s="4" t="inlineStr">
        <is>
          <t>ANTWERP</t>
        </is>
      </c>
      <c r="E87" s="4" t="inlineStr">
        <is>
          <t>ANTWERP</t>
        </is>
      </c>
      <c r="F87" s="4" t="inlineStr">
        <is>
          <t>SAVANNAH, GA</t>
        </is>
      </c>
      <c r="G87" s="4" t="inlineStr">
        <is>
          <t>NASHVILLE, TN</t>
        </is>
      </c>
      <c r="H87" s="5">
        <f>VLOOKUP($A87,$A$5:$J$34,8,FALSE)</f>
        <v/>
      </c>
      <c r="I87" s="5">
        <f>VLOOKUP($A87,$A$5:$J$34,8,FALSE)</f>
        <v/>
      </c>
      <c r="J87" s="5">
        <f>VLOOKUP($A87,$A$5:$J$34,9,FALSE)</f>
        <v/>
      </c>
      <c r="K87" s="5">
        <f>VLOOKUP($B87,'US inland'!$A$7:$G$27,6,FALSE)</f>
        <v/>
      </c>
      <c r="L87" s="5">
        <f>VLOOKUP($B87,'US inland'!$A$7:$G$27,7,FALSE)</f>
        <v/>
      </c>
      <c r="M87" s="5">
        <f>VLOOKUP($B87,'US inland'!$A$7:$G$27,7,FALSE)</f>
        <v/>
      </c>
      <c r="N87" s="6">
        <f>VLOOKUP($F87,$F$19:$S$34,9,FALSE)</f>
        <v/>
      </c>
      <c r="O87" s="5">
        <f>VLOOKUP($F87,$F$19:$S$34,10,FALSE)</f>
        <v/>
      </c>
      <c r="P87" s="5">
        <f>VLOOKUP($F87,$F$19:$S$34,11,FALSE)</f>
        <v/>
      </c>
      <c r="Q87" s="5">
        <f>VLOOKUP($F87,$F$19:$S$34,12,FALSE)</f>
        <v/>
      </c>
      <c r="R87" s="5">
        <f>VLOOKUP($F87,$F$19:$S$34,13,FALSE)</f>
        <v/>
      </c>
      <c r="S87" s="5">
        <f>VLOOKUP($F87,$F$19:$S$34,14,FALSE)</f>
        <v/>
      </c>
      <c r="T87" s="9">
        <f>SUM(H87,K87,N87,Q87)</f>
        <v/>
      </c>
      <c r="U87" s="9">
        <f>SUM(I87,L87,O87,R87)</f>
        <v/>
      </c>
      <c r="V87" s="9">
        <f>SUM(J87,M87,P87,S87)</f>
        <v/>
      </c>
      <c r="W87" s="3" t="n">
        <v>46082</v>
      </c>
      <c r="X87" s="3" t="n">
        <v>46112</v>
      </c>
      <c r="Y87" s="5" t="n"/>
      <c r="AA87" s="13" t="n">
        <v>46082</v>
      </c>
      <c r="AB87" s="13" t="n">
        <v>46112</v>
      </c>
      <c r="AC87" s="9" t="n"/>
      <c r="AD87" s="9">
        <f>T87-AA87</f>
        <v/>
      </c>
      <c r="AE87" s="9">
        <f>U87-AB87</f>
        <v/>
      </c>
      <c r="AF87" s="9">
        <f>V87-AC87</f>
        <v/>
      </c>
    </row>
    <row r="88">
      <c r="A88">
        <f>E88&amp;F88</f>
        <v/>
      </c>
      <c r="B88">
        <f>G88&amp;F88</f>
        <v/>
      </c>
      <c r="C88" s="4">
        <f>VLOOKUP(D88,Sheet1!$A$1:$B$4,2,FALSE)</f>
        <v/>
      </c>
      <c r="D88" s="4" t="inlineStr">
        <is>
          <t>ANTWERP</t>
        </is>
      </c>
      <c r="E88" s="4" t="inlineStr">
        <is>
          <t>ANTWERP</t>
        </is>
      </c>
      <c r="F88" s="4" t="inlineStr">
        <is>
          <t>NEW YORK, NY</t>
        </is>
      </c>
      <c r="G88" s="4" t="inlineStr">
        <is>
          <t>PITTSBURGH, PA</t>
        </is>
      </c>
      <c r="H88" s="5">
        <f>VLOOKUP($A88,$A$5:$J$34,8,FALSE)</f>
        <v/>
      </c>
      <c r="I88" s="5">
        <f>VLOOKUP($A88,$A$5:$J$34,8,FALSE)</f>
        <v/>
      </c>
      <c r="J88" s="5">
        <f>VLOOKUP($A88,$A$5:$J$34,9,FALSE)</f>
        <v/>
      </c>
      <c r="K88" s="5">
        <f>VLOOKUP($B88,'US inland'!$A$7:$G$27,6,FALSE)</f>
        <v/>
      </c>
      <c r="L88" s="5">
        <f>VLOOKUP($B88,'US inland'!$A$7:$G$27,7,FALSE)</f>
        <v/>
      </c>
      <c r="M88" s="5">
        <f>VLOOKUP($B88,'US inland'!$A$7:$G$27,7,FALSE)</f>
        <v/>
      </c>
      <c r="N88" s="6">
        <f>VLOOKUP($F88,$F$19:$S$34,9,FALSE)</f>
        <v/>
      </c>
      <c r="O88" s="5">
        <f>VLOOKUP($F88,$F$19:$S$34,10,FALSE)</f>
        <v/>
      </c>
      <c r="P88" s="5">
        <f>VLOOKUP($F88,$F$19:$S$34,11,FALSE)</f>
        <v/>
      </c>
      <c r="Q88" s="5">
        <f>VLOOKUP($F88,$F$19:$S$34,12,FALSE)</f>
        <v/>
      </c>
      <c r="R88" s="5">
        <f>VLOOKUP($F88,$F$19:$S$34,13,FALSE)</f>
        <v/>
      </c>
      <c r="S88" s="5">
        <f>VLOOKUP($F88,$F$19:$S$34,14,FALSE)</f>
        <v/>
      </c>
      <c r="T88" s="9">
        <f>SUM(H88,K88,N88,Q88)</f>
        <v/>
      </c>
      <c r="U88" s="9">
        <f>SUM(I88,L88,O88,R88)</f>
        <v/>
      </c>
      <c r="V88" s="9">
        <f>SUM(J88,M88,P88,S88)</f>
        <v/>
      </c>
      <c r="W88" s="3" t="n">
        <v>46082</v>
      </c>
      <c r="X88" s="3" t="n">
        <v>46112</v>
      </c>
      <c r="Y88" s="5" t="n"/>
      <c r="AA88" s="13" t="n">
        <v>46082</v>
      </c>
      <c r="AB88" s="13" t="n">
        <v>46112</v>
      </c>
      <c r="AC88" s="9" t="n"/>
      <c r="AD88" s="9">
        <f>T88-AA88</f>
        <v/>
      </c>
      <c r="AE88" s="9">
        <f>U88-AB88</f>
        <v/>
      </c>
      <c r="AF88" s="9">
        <f>V88-AC88</f>
        <v/>
      </c>
    </row>
    <row r="89">
      <c r="A89">
        <f>E89&amp;F89</f>
        <v/>
      </c>
      <c r="B89">
        <f>G89&amp;F89</f>
        <v/>
      </c>
      <c r="C89" s="4">
        <f>VLOOKUP(D89,Sheet1!$A$1:$B$4,2,FALSE)</f>
        <v/>
      </c>
      <c r="D89" s="4" t="inlineStr">
        <is>
          <t>HAMBURG</t>
        </is>
      </c>
      <c r="E89" s="4" t="inlineStr">
        <is>
          <t>HAMBURG</t>
        </is>
      </c>
      <c r="F89" s="4" t="inlineStr">
        <is>
          <t>OAKLAND, CA</t>
        </is>
      </c>
      <c r="G89" s="4" t="inlineStr">
        <is>
          <t>SALT LAKE CITY, UT</t>
        </is>
      </c>
      <c r="H89" s="5">
        <f>VLOOKUP($A89,$A$5:$J$34,8,FALSE)</f>
        <v/>
      </c>
      <c r="I89" s="5">
        <f>VLOOKUP($A89,$A$5:$J$34,8,FALSE)</f>
        <v/>
      </c>
      <c r="J89" s="5">
        <f>VLOOKUP($A89,$A$5:$J$34,9,FALSE)</f>
        <v/>
      </c>
      <c r="K89" s="5">
        <f>VLOOKUP($B89,'US inland'!$A$7:$G$27,6,FALSE)</f>
        <v/>
      </c>
      <c r="L89" s="5">
        <f>VLOOKUP($B89,'US inland'!$A$7:$G$27,7,FALSE)</f>
        <v/>
      </c>
      <c r="M89" s="5">
        <f>VLOOKUP($B89,'US inland'!$A$7:$G$27,7,FALSE)</f>
        <v/>
      </c>
      <c r="N89" s="6">
        <f>VLOOKUP($F89,$F$19:$S$34,9,FALSE)</f>
        <v/>
      </c>
      <c r="O89" s="5">
        <f>VLOOKUP($F89,$F$19:$S$34,10,FALSE)</f>
        <v/>
      </c>
      <c r="P89" s="5">
        <f>VLOOKUP($F89,$F$19:$S$34,11,FALSE)</f>
        <v/>
      </c>
      <c r="Q89" s="5">
        <f>VLOOKUP($F89,$F$19:$S$34,12,FALSE)</f>
        <v/>
      </c>
      <c r="R89" s="5">
        <f>VLOOKUP($F89,$F$19:$S$34,13,FALSE)</f>
        <v/>
      </c>
      <c r="S89" s="5">
        <f>VLOOKUP($F89,$F$19:$S$34,14,FALSE)</f>
        <v/>
      </c>
      <c r="T89" s="9">
        <f>SUM(H89,K89,N89,Q89)</f>
        <v/>
      </c>
      <c r="U89" s="9">
        <f>SUM(I89,L89,O89,R89)</f>
        <v/>
      </c>
      <c r="V89" s="9">
        <f>SUM(J89,M89,P89,S89)</f>
        <v/>
      </c>
      <c r="W89" s="3" t="n">
        <v>46082</v>
      </c>
      <c r="X89" s="3" t="n">
        <v>46112</v>
      </c>
      <c r="Y89" s="5" t="n"/>
      <c r="AA89" s="13" t="n">
        <v>46082</v>
      </c>
      <c r="AB89" s="13" t="n">
        <v>46112</v>
      </c>
      <c r="AC89" s="9" t="n"/>
      <c r="AD89" s="9">
        <f>T89-AA89</f>
        <v/>
      </c>
      <c r="AE89" s="9">
        <f>U89-AB89</f>
        <v/>
      </c>
      <c r="AF89" s="9">
        <f>V89-AC89</f>
        <v/>
      </c>
    </row>
    <row r="90">
      <c r="A90">
        <f>E90&amp;F90</f>
        <v/>
      </c>
      <c r="B90">
        <f>G90&amp;F90</f>
        <v/>
      </c>
      <c r="C90" s="4">
        <f>VLOOKUP(D90,Sheet1!$A$1:$B$4,2,FALSE)</f>
        <v/>
      </c>
      <c r="D90" s="4" t="inlineStr">
        <is>
          <t>ROTTERDAM</t>
        </is>
      </c>
      <c r="E90" s="4" t="inlineStr">
        <is>
          <t>ROTTERDAM</t>
        </is>
      </c>
      <c r="F90" s="4" t="inlineStr">
        <is>
          <t>OAKLAND, CA</t>
        </is>
      </c>
      <c r="G90" s="4" t="inlineStr">
        <is>
          <t>SALT LAKE CITY, UT</t>
        </is>
      </c>
      <c r="H90" s="5">
        <f>VLOOKUP($A90,$A$5:$J$34,8,FALSE)</f>
        <v/>
      </c>
      <c r="I90" s="5">
        <f>VLOOKUP($A90,$A$5:$J$34,8,FALSE)</f>
        <v/>
      </c>
      <c r="J90" s="5">
        <f>VLOOKUP($A90,$A$5:$J$34,9,FALSE)</f>
        <v/>
      </c>
      <c r="K90" s="5">
        <f>VLOOKUP($B90,'US inland'!$A$7:$G$27,6,FALSE)</f>
        <v/>
      </c>
      <c r="L90" s="5">
        <f>VLOOKUP($B90,'US inland'!$A$7:$G$27,7,FALSE)</f>
        <v/>
      </c>
      <c r="M90" s="5">
        <f>VLOOKUP($B90,'US inland'!$A$7:$G$27,7,FALSE)</f>
        <v/>
      </c>
      <c r="N90" s="6">
        <f>VLOOKUP($F90,$F$19:$S$34,9,FALSE)</f>
        <v/>
      </c>
      <c r="O90" s="5">
        <f>VLOOKUP($F90,$F$19:$S$34,10,FALSE)</f>
        <v/>
      </c>
      <c r="P90" s="5">
        <f>VLOOKUP($F90,$F$19:$S$34,11,FALSE)</f>
        <v/>
      </c>
      <c r="Q90" s="5">
        <f>VLOOKUP($F90,$F$19:$S$34,12,FALSE)</f>
        <v/>
      </c>
      <c r="R90" s="5">
        <f>VLOOKUP($F90,$F$19:$S$34,13,FALSE)</f>
        <v/>
      </c>
      <c r="S90" s="5">
        <f>VLOOKUP($F90,$F$19:$S$34,14,FALSE)</f>
        <v/>
      </c>
      <c r="T90" s="9">
        <f>SUM(H90,K90,N90,Q90)</f>
        <v/>
      </c>
      <c r="U90" s="9">
        <f>SUM(I90,L90,O90,R90)</f>
        <v/>
      </c>
      <c r="V90" s="9">
        <f>SUM(J90,M90,P90,S90)</f>
        <v/>
      </c>
      <c r="W90" s="3" t="n">
        <v>46082</v>
      </c>
      <c r="X90" s="3" t="n">
        <v>46112</v>
      </c>
      <c r="Y90" s="5" t="n"/>
      <c r="AA90" s="13" t="n">
        <v>46082</v>
      </c>
      <c r="AB90" s="13" t="n">
        <v>46112</v>
      </c>
      <c r="AC90" s="9" t="n"/>
      <c r="AD90" s="9">
        <f>T90-AA90</f>
        <v/>
      </c>
      <c r="AE90" s="9">
        <f>U90-AB90</f>
        <v/>
      </c>
      <c r="AF90" s="9">
        <f>V90-AC90</f>
        <v/>
      </c>
    </row>
    <row r="91">
      <c r="A91">
        <f>E91&amp;F91</f>
        <v/>
      </c>
      <c r="B91">
        <f>G91&amp;F91</f>
        <v/>
      </c>
      <c r="C91" s="4">
        <f>VLOOKUP(D91,Sheet1!$A$1:$B$4,2,FALSE)</f>
        <v/>
      </c>
      <c r="D91" s="4" t="inlineStr">
        <is>
          <t>ANTWERP</t>
        </is>
      </c>
      <c r="E91" s="4" t="inlineStr">
        <is>
          <t>ANTWERP</t>
        </is>
      </c>
      <c r="F91" s="4" t="inlineStr">
        <is>
          <t>OAKLAND, CA</t>
        </is>
      </c>
      <c r="G91" s="4" t="inlineStr">
        <is>
          <t>SALT LAKE CITY, UT</t>
        </is>
      </c>
      <c r="H91" s="5">
        <f>VLOOKUP($A91,$A$5:$J$34,8,FALSE)</f>
        <v/>
      </c>
      <c r="I91" s="5">
        <f>VLOOKUP($A91,$A$5:$J$34,8,FALSE)</f>
        <v/>
      </c>
      <c r="J91" s="5">
        <f>VLOOKUP($A91,$A$5:$J$34,9,FALSE)</f>
        <v/>
      </c>
      <c r="K91" s="5">
        <f>VLOOKUP($B91,'US inland'!$A$7:$G$27,6,FALSE)</f>
        <v/>
      </c>
      <c r="L91" s="5">
        <f>VLOOKUP($B91,'US inland'!$A$7:$G$27,7,FALSE)</f>
        <v/>
      </c>
      <c r="M91" s="5">
        <f>VLOOKUP($B91,'US inland'!$A$7:$G$27,7,FALSE)</f>
        <v/>
      </c>
      <c r="N91" s="6">
        <f>VLOOKUP($F91,$F$19:$S$34,9,FALSE)</f>
        <v/>
      </c>
      <c r="O91" s="5">
        <f>VLOOKUP($F91,$F$19:$S$34,10,FALSE)</f>
        <v/>
      </c>
      <c r="P91" s="5">
        <f>VLOOKUP($F91,$F$19:$S$34,11,FALSE)</f>
        <v/>
      </c>
      <c r="Q91" s="5">
        <f>VLOOKUP($F91,$F$19:$S$34,12,FALSE)</f>
        <v/>
      </c>
      <c r="R91" s="5">
        <f>VLOOKUP($F91,$F$19:$S$34,13,FALSE)</f>
        <v/>
      </c>
      <c r="S91" s="5">
        <f>VLOOKUP($F91,$F$19:$S$34,14,FALSE)</f>
        <v/>
      </c>
      <c r="T91" s="9">
        <f>SUM(H91,K91,N91,Q91)</f>
        <v/>
      </c>
      <c r="U91" s="9">
        <f>SUM(I91,L91,O91,R91)</f>
        <v/>
      </c>
      <c r="V91" s="9">
        <f>SUM(J91,M91,P91,S91)</f>
        <v/>
      </c>
      <c r="W91" s="3" t="n">
        <v>46082</v>
      </c>
      <c r="X91" s="3" t="n">
        <v>46112</v>
      </c>
      <c r="Y91" s="5" t="n"/>
      <c r="AA91" s="13" t="n">
        <v>46082</v>
      </c>
      <c r="AB91" s="13" t="n">
        <v>46112</v>
      </c>
      <c r="AC91" s="9" t="n"/>
      <c r="AD91" s="9">
        <f>T91-AA91</f>
        <v/>
      </c>
      <c r="AE91" s="9">
        <f>U91-AB91</f>
        <v/>
      </c>
      <c r="AF91" s="9">
        <f>V91-AC91</f>
        <v/>
      </c>
    </row>
    <row r="92">
      <c r="A92">
        <f>E92&amp;F92</f>
        <v/>
      </c>
      <c r="B92">
        <f>G92&amp;F92</f>
        <v/>
      </c>
      <c r="C92" s="4">
        <f>VLOOKUP(D92,Sheet1!$A$1:$B$4,2,FALSE)</f>
        <v/>
      </c>
      <c r="D92" s="4" t="inlineStr">
        <is>
          <t>BREMERHAVEN</t>
        </is>
      </c>
      <c r="E92" s="4" t="inlineStr">
        <is>
          <t>BREMERHAVEN</t>
        </is>
      </c>
      <c r="F92" s="4" t="inlineStr">
        <is>
          <t>NEW YORK, NY</t>
        </is>
      </c>
      <c r="G92" s="4" t="inlineStr">
        <is>
          <t>ST LOUIS, MO</t>
        </is>
      </c>
      <c r="H92" s="5">
        <f>VLOOKUP($A92,$A$5:$J$34,8,FALSE)</f>
        <v/>
      </c>
      <c r="I92" s="5">
        <f>VLOOKUP($A92,$A$5:$J$34,8,FALSE)</f>
        <v/>
      </c>
      <c r="J92" s="5">
        <f>VLOOKUP($A92,$A$5:$J$34,9,FALSE)</f>
        <v/>
      </c>
      <c r="K92" s="5">
        <f>VLOOKUP($B92,'US inland'!$A$7:$G$27,6,FALSE)</f>
        <v/>
      </c>
      <c r="L92" s="5">
        <f>VLOOKUP($B92,'US inland'!$A$7:$G$27,7,FALSE)</f>
        <v/>
      </c>
      <c r="M92" s="5">
        <f>VLOOKUP($B92,'US inland'!$A$7:$G$27,7,FALSE)</f>
        <v/>
      </c>
      <c r="N92" s="6">
        <f>VLOOKUP($F92,$F$19:$S$34,9,FALSE)</f>
        <v/>
      </c>
      <c r="O92" s="5">
        <f>VLOOKUP($F92,$F$19:$S$34,10,FALSE)</f>
        <v/>
      </c>
      <c r="P92" s="5">
        <f>VLOOKUP($F92,$F$19:$S$34,11,FALSE)</f>
        <v/>
      </c>
      <c r="Q92" s="5">
        <f>VLOOKUP($F92,$F$19:$S$34,12,FALSE)</f>
        <v/>
      </c>
      <c r="R92" s="5">
        <f>VLOOKUP($F92,$F$19:$S$34,13,FALSE)</f>
        <v/>
      </c>
      <c r="S92" s="5">
        <f>VLOOKUP($F92,$F$19:$S$34,14,FALSE)</f>
        <v/>
      </c>
      <c r="T92" s="9">
        <f>SUM(H92,K92,N92,Q92)</f>
        <v/>
      </c>
      <c r="U92" s="9">
        <f>SUM(I92,L92,O92,R92)</f>
        <v/>
      </c>
      <c r="V92" s="9">
        <f>SUM(J92,M92,P92,S92)</f>
        <v/>
      </c>
      <c r="W92" s="3" t="n">
        <v>46082</v>
      </c>
      <c r="X92" s="3" t="n">
        <v>46112</v>
      </c>
      <c r="Y92" s="5" t="n"/>
      <c r="AA92" s="13" t="n">
        <v>46082</v>
      </c>
      <c r="AB92" s="13" t="n">
        <v>46112</v>
      </c>
      <c r="AC92" s="9" t="n"/>
      <c r="AD92" s="9">
        <f>T92-AA92</f>
        <v/>
      </c>
      <c r="AE92" s="9">
        <f>U92-AB92</f>
        <v/>
      </c>
      <c r="AF92" s="9">
        <f>V92-AC92</f>
        <v/>
      </c>
    </row>
    <row r="93">
      <c r="A93">
        <f>E93&amp;F93</f>
        <v/>
      </c>
      <c r="B93">
        <f>G93&amp;F93</f>
        <v/>
      </c>
      <c r="C93" s="4">
        <f>VLOOKUP(D93,Sheet1!$A$1:$B$4,2,FALSE)</f>
        <v/>
      </c>
      <c r="D93" s="4" t="inlineStr">
        <is>
          <t>BREMERHAVEN</t>
        </is>
      </c>
      <c r="E93" s="4" t="inlineStr">
        <is>
          <t>BREMERHAVEN</t>
        </is>
      </c>
      <c r="F93" s="4" t="inlineStr">
        <is>
          <t>SAVANNAH, GA</t>
        </is>
      </c>
      <c r="G93" s="4" t="inlineStr">
        <is>
          <t>TAMPA, FL</t>
        </is>
      </c>
      <c r="H93" s="5">
        <f>VLOOKUP($A93,$A$5:$J$34,8,FALSE)</f>
        <v/>
      </c>
      <c r="I93" s="5">
        <f>VLOOKUP($A93,$A$5:$J$34,8,FALSE)</f>
        <v/>
      </c>
      <c r="J93" s="5">
        <f>VLOOKUP($A93,$A$5:$J$34,9,FALSE)</f>
        <v/>
      </c>
      <c r="K93" s="5">
        <f>VLOOKUP($B93,'US inland'!$A$7:$G$27,6,FALSE)</f>
        <v/>
      </c>
      <c r="L93" s="5">
        <f>VLOOKUP($B93,'US inland'!$A$7:$G$27,7,FALSE)</f>
        <v/>
      </c>
      <c r="M93" s="5">
        <f>VLOOKUP($B93,'US inland'!$A$7:$G$27,7,FALSE)</f>
        <v/>
      </c>
      <c r="N93" s="6">
        <f>VLOOKUP($F93,$F$19:$S$34,9,FALSE)</f>
        <v/>
      </c>
      <c r="O93" s="5">
        <f>VLOOKUP($F93,$F$19:$S$34,10,FALSE)</f>
        <v/>
      </c>
      <c r="P93" s="5">
        <f>VLOOKUP($F93,$F$19:$S$34,11,FALSE)</f>
        <v/>
      </c>
      <c r="Q93" s="5">
        <f>VLOOKUP($F93,$F$19:$S$34,12,FALSE)</f>
        <v/>
      </c>
      <c r="R93" s="5">
        <f>VLOOKUP($F93,$F$19:$S$34,13,FALSE)</f>
        <v/>
      </c>
      <c r="S93" s="5">
        <f>VLOOKUP($F93,$F$19:$S$34,14,FALSE)</f>
        <v/>
      </c>
      <c r="T93" s="9">
        <f>SUM(H93,K93,N93,Q93)</f>
        <v/>
      </c>
      <c r="U93" s="9">
        <f>SUM(I93,L93,O93,R93)</f>
        <v/>
      </c>
      <c r="V93" s="9">
        <f>SUM(J93,M93,P93,S93)</f>
        <v/>
      </c>
      <c r="W93" s="3" t="n">
        <v>46082</v>
      </c>
      <c r="X93" s="3" t="n">
        <v>46112</v>
      </c>
      <c r="Y93" s="5" t="n"/>
      <c r="AA93" s="13" t="n">
        <v>46082</v>
      </c>
      <c r="AB93" s="13" t="n">
        <v>46112</v>
      </c>
      <c r="AC93" s="9" t="n"/>
      <c r="AD93" s="9">
        <f>T93-AA93</f>
        <v/>
      </c>
      <c r="AE93" s="9">
        <f>U93-AB93</f>
        <v/>
      </c>
      <c r="AF93" s="9">
        <f>V93-AC93</f>
        <v/>
      </c>
    </row>
    <row r="94">
      <c r="A94">
        <f>E94&amp;F94</f>
        <v/>
      </c>
      <c r="B94">
        <f>G94&amp;F94</f>
        <v/>
      </c>
      <c r="C94" s="4">
        <f>VLOOKUP(D94,Sheet1!$A$1:$B$4,2,FALSE)</f>
        <v/>
      </c>
      <c r="D94" s="4" t="inlineStr">
        <is>
          <t>ROTTERDAM</t>
        </is>
      </c>
      <c r="E94" s="4" t="inlineStr">
        <is>
          <t>ROTTERDAM</t>
        </is>
      </c>
      <c r="F94" s="4" t="inlineStr">
        <is>
          <t>NEW YORK, NY</t>
        </is>
      </c>
      <c r="G94" s="4" t="inlineStr">
        <is>
          <t>ST LOUIS, MO</t>
        </is>
      </c>
      <c r="H94" s="5">
        <f>VLOOKUP($A94,$A$5:$J$34,8,FALSE)</f>
        <v/>
      </c>
      <c r="I94" s="5">
        <f>VLOOKUP($A94,$A$5:$J$34,8,FALSE)</f>
        <v/>
      </c>
      <c r="J94" s="5">
        <f>VLOOKUP($A94,$A$5:$J$34,9,FALSE)</f>
        <v/>
      </c>
      <c r="K94" s="5">
        <f>VLOOKUP($B94,'US inland'!$A$7:$G$27,6,FALSE)</f>
        <v/>
      </c>
      <c r="L94" s="5">
        <f>VLOOKUP($B94,'US inland'!$A$7:$G$27,7,FALSE)</f>
        <v/>
      </c>
      <c r="M94" s="5">
        <f>VLOOKUP($B94,'US inland'!$A$7:$G$27,7,FALSE)</f>
        <v/>
      </c>
      <c r="N94" s="6">
        <f>VLOOKUP($F94,$F$19:$S$34,9,FALSE)</f>
        <v/>
      </c>
      <c r="O94" s="5">
        <f>VLOOKUP($F94,$F$19:$S$34,10,FALSE)</f>
        <v/>
      </c>
      <c r="P94" s="5">
        <f>VLOOKUP($F94,$F$19:$S$34,11,FALSE)</f>
        <v/>
      </c>
      <c r="Q94" s="5">
        <f>VLOOKUP($F94,$F$19:$S$34,12,FALSE)</f>
        <v/>
      </c>
      <c r="R94" s="5">
        <f>VLOOKUP($F94,$F$19:$S$34,13,FALSE)</f>
        <v/>
      </c>
      <c r="S94" s="5">
        <f>VLOOKUP($F94,$F$19:$S$34,14,FALSE)</f>
        <v/>
      </c>
      <c r="T94" s="9">
        <f>SUM(H94,K94,N94,Q94)</f>
        <v/>
      </c>
      <c r="U94" s="9">
        <f>SUM(I94,L94,O94,R94)</f>
        <v/>
      </c>
      <c r="V94" s="9">
        <f>SUM(J94,M94,P94,S94)</f>
        <v/>
      </c>
      <c r="W94" s="3" t="n">
        <v>46082</v>
      </c>
      <c r="X94" s="3" t="n">
        <v>46112</v>
      </c>
      <c r="Y94" s="5" t="n"/>
      <c r="AA94" s="13" t="n">
        <v>46082</v>
      </c>
      <c r="AB94" s="13" t="n">
        <v>46112</v>
      </c>
      <c r="AC94" s="9" t="n"/>
      <c r="AD94" s="9">
        <f>T94-AA94</f>
        <v/>
      </c>
      <c r="AE94" s="9">
        <f>U94-AB94</f>
        <v/>
      </c>
      <c r="AF94" s="9">
        <f>V94-AC94</f>
        <v/>
      </c>
    </row>
    <row r="95">
      <c r="A95">
        <f>E95&amp;F95</f>
        <v/>
      </c>
      <c r="B95">
        <f>G95&amp;F95</f>
        <v/>
      </c>
      <c r="C95" s="4">
        <f>VLOOKUP(D95,Sheet1!$A$1:$B$4,2,FALSE)</f>
        <v/>
      </c>
      <c r="D95" s="4" t="inlineStr">
        <is>
          <t>ROTTERDAM</t>
        </is>
      </c>
      <c r="E95" s="4" t="inlineStr">
        <is>
          <t>ROTTERDAM</t>
        </is>
      </c>
      <c r="F95" s="4" t="inlineStr">
        <is>
          <t>SAVANNAH, GA</t>
        </is>
      </c>
      <c r="G95" s="4" t="inlineStr">
        <is>
          <t>TAMPA, FL</t>
        </is>
      </c>
      <c r="H95" s="5">
        <f>VLOOKUP($A95,$A$5:$J$34,8,FALSE)</f>
        <v/>
      </c>
      <c r="I95" s="5">
        <f>VLOOKUP($A95,$A$5:$J$34,8,FALSE)</f>
        <v/>
      </c>
      <c r="J95" s="5">
        <f>VLOOKUP($A95,$A$5:$J$34,9,FALSE)</f>
        <v/>
      </c>
      <c r="K95" s="5">
        <f>VLOOKUP($B95,'US inland'!$A$7:$G$27,6,FALSE)</f>
        <v/>
      </c>
      <c r="L95" s="5">
        <f>VLOOKUP($B95,'US inland'!$A$7:$G$27,7,FALSE)</f>
        <v/>
      </c>
      <c r="M95" s="5">
        <f>VLOOKUP($B95,'US inland'!$A$7:$G$27,7,FALSE)</f>
        <v/>
      </c>
      <c r="N95" s="6">
        <f>VLOOKUP($F95,$F$19:$S$34,9,FALSE)</f>
        <v/>
      </c>
      <c r="O95" s="5">
        <f>VLOOKUP($F95,$F$19:$S$34,10,FALSE)</f>
        <v/>
      </c>
      <c r="P95" s="5">
        <f>VLOOKUP($F95,$F$19:$S$34,11,FALSE)</f>
        <v/>
      </c>
      <c r="Q95" s="5">
        <f>VLOOKUP($F95,$F$19:$S$34,12,FALSE)</f>
        <v/>
      </c>
      <c r="R95" s="5">
        <f>VLOOKUP($F95,$F$19:$S$34,13,FALSE)</f>
        <v/>
      </c>
      <c r="S95" s="5">
        <f>VLOOKUP($F95,$F$19:$S$34,14,FALSE)</f>
        <v/>
      </c>
      <c r="T95" s="9">
        <f>SUM(H95,K95,N95,Q95)</f>
        <v/>
      </c>
      <c r="U95" s="9">
        <f>SUM(I95,L95,O95,R95)</f>
        <v/>
      </c>
      <c r="V95" s="9">
        <f>SUM(J95,M95,P95,S95)</f>
        <v/>
      </c>
      <c r="W95" s="3" t="n">
        <v>46082</v>
      </c>
      <c r="X95" s="3" t="n">
        <v>46112</v>
      </c>
      <c r="Y95" s="5" t="n"/>
      <c r="AA95" s="13" t="n">
        <v>46082</v>
      </c>
      <c r="AB95" s="13" t="n">
        <v>46112</v>
      </c>
      <c r="AC95" s="9" t="n"/>
      <c r="AD95" s="9">
        <f>T95-AA95</f>
        <v/>
      </c>
      <c r="AE95" s="9">
        <f>U95-AB95</f>
        <v/>
      </c>
      <c r="AF95" s="9">
        <f>V95-AC95</f>
        <v/>
      </c>
    </row>
    <row r="96">
      <c r="A96">
        <f>E96&amp;F96</f>
        <v/>
      </c>
      <c r="B96">
        <f>G96&amp;F96</f>
        <v/>
      </c>
      <c r="C96" s="4">
        <f>VLOOKUP(D96,Sheet1!$A$1:$B$4,2,FALSE)</f>
        <v/>
      </c>
      <c r="D96" s="4" t="inlineStr">
        <is>
          <t>ANTWERP</t>
        </is>
      </c>
      <c r="E96" s="4" t="inlineStr">
        <is>
          <t>ANTWERP</t>
        </is>
      </c>
      <c r="F96" s="4" t="inlineStr">
        <is>
          <t>NEW YORK, NY</t>
        </is>
      </c>
      <c r="G96" s="4" t="inlineStr">
        <is>
          <t>ST LOUIS, MO</t>
        </is>
      </c>
      <c r="H96" s="5">
        <f>VLOOKUP($A96,$A$5:$J$34,8,FALSE)</f>
        <v/>
      </c>
      <c r="I96" s="5">
        <f>VLOOKUP($A96,$A$5:$J$34,8,FALSE)</f>
        <v/>
      </c>
      <c r="J96" s="5">
        <f>VLOOKUP($A96,$A$5:$J$34,9,FALSE)</f>
        <v/>
      </c>
      <c r="K96" s="5">
        <f>VLOOKUP($B96,'US inland'!$A$7:$G$27,6,FALSE)</f>
        <v/>
      </c>
      <c r="L96" s="5">
        <f>VLOOKUP($B96,'US inland'!$A$7:$G$27,7,FALSE)</f>
        <v/>
      </c>
      <c r="M96" s="5">
        <f>VLOOKUP($B96,'US inland'!$A$7:$G$27,7,FALSE)</f>
        <v/>
      </c>
      <c r="N96" s="6">
        <f>VLOOKUP($F96,$F$19:$S$34,9,FALSE)</f>
        <v/>
      </c>
      <c r="O96" s="5">
        <f>VLOOKUP($F96,$F$19:$S$34,10,FALSE)</f>
        <v/>
      </c>
      <c r="P96" s="5">
        <f>VLOOKUP($F96,$F$19:$S$34,11,FALSE)</f>
        <v/>
      </c>
      <c r="Q96" s="5">
        <f>VLOOKUP($F96,$F$19:$S$34,12,FALSE)</f>
        <v/>
      </c>
      <c r="R96" s="5">
        <f>VLOOKUP($F96,$F$19:$S$34,13,FALSE)</f>
        <v/>
      </c>
      <c r="S96" s="5">
        <f>VLOOKUP($F96,$F$19:$S$34,14,FALSE)</f>
        <v/>
      </c>
      <c r="T96" s="9">
        <f>SUM(H96,K96,N96,Q96)</f>
        <v/>
      </c>
      <c r="U96" s="9">
        <f>SUM(I96,L96,O96,R96)</f>
        <v/>
      </c>
      <c r="V96" s="9">
        <f>SUM(J96,M96,P96,S96)</f>
        <v/>
      </c>
      <c r="W96" s="3" t="n">
        <v>46082</v>
      </c>
      <c r="X96" s="3" t="n">
        <v>46112</v>
      </c>
      <c r="Y96" s="5" t="n"/>
      <c r="AA96" s="13" t="n">
        <v>46082</v>
      </c>
      <c r="AB96" s="13" t="n">
        <v>46112</v>
      </c>
      <c r="AC96" s="9" t="n"/>
      <c r="AD96" s="9">
        <f>T96-AA96</f>
        <v/>
      </c>
      <c r="AE96" s="9">
        <f>U96-AB96</f>
        <v/>
      </c>
      <c r="AF96" s="9">
        <f>V96-AC96</f>
        <v/>
      </c>
    </row>
    <row r="97">
      <c r="A97">
        <f>E97&amp;F97</f>
        <v/>
      </c>
      <c r="B97">
        <f>G97&amp;F97</f>
        <v/>
      </c>
      <c r="C97" s="4">
        <f>VLOOKUP(D97,Sheet1!$A$1:$B$4,2,FALSE)</f>
        <v/>
      </c>
      <c r="D97" s="4" t="inlineStr">
        <is>
          <t>ANTWERP</t>
        </is>
      </c>
      <c r="E97" s="4" t="inlineStr">
        <is>
          <t>ANTWERP</t>
        </is>
      </c>
      <c r="F97" s="4" t="inlineStr">
        <is>
          <t>SAVANNAH, GA</t>
        </is>
      </c>
      <c r="G97" s="4" t="inlineStr">
        <is>
          <t>TAMPA, FL</t>
        </is>
      </c>
      <c r="H97" s="5">
        <f>VLOOKUP($A97,$A$5:$J$34,8,FALSE)</f>
        <v/>
      </c>
      <c r="I97" s="5">
        <f>VLOOKUP($A97,$A$5:$J$34,8,FALSE)</f>
        <v/>
      </c>
      <c r="J97" s="5">
        <f>VLOOKUP($A97,$A$5:$J$34,9,FALSE)</f>
        <v/>
      </c>
      <c r="K97" s="5">
        <f>VLOOKUP($B97,'US inland'!$A$7:$G$27,6,FALSE)</f>
        <v/>
      </c>
      <c r="L97" s="5">
        <f>VLOOKUP($B97,'US inland'!$A$7:$G$27,7,FALSE)</f>
        <v/>
      </c>
      <c r="M97" s="5">
        <f>VLOOKUP($B97,'US inland'!$A$7:$G$27,7,FALSE)</f>
        <v/>
      </c>
      <c r="N97" s="6">
        <f>VLOOKUP($F97,$F$19:$S$34,9,FALSE)</f>
        <v/>
      </c>
      <c r="O97" s="5">
        <f>VLOOKUP($F97,$F$19:$S$34,10,FALSE)</f>
        <v/>
      </c>
      <c r="P97" s="5">
        <f>VLOOKUP($F97,$F$19:$S$34,11,FALSE)</f>
        <v/>
      </c>
      <c r="Q97" s="5">
        <f>VLOOKUP($F97,$F$19:$S$34,12,FALSE)</f>
        <v/>
      </c>
      <c r="R97" s="5">
        <f>VLOOKUP($F97,$F$19:$S$34,13,FALSE)</f>
        <v/>
      </c>
      <c r="S97" s="5">
        <f>VLOOKUP($F97,$F$19:$S$34,14,FALSE)</f>
        <v/>
      </c>
      <c r="T97" s="9">
        <f>SUM(H97,K97,N97,Q97)</f>
        <v/>
      </c>
      <c r="U97" s="9">
        <f>SUM(I97,L97,O97,R97)</f>
        <v/>
      </c>
      <c r="V97" s="9">
        <f>SUM(J97,M97,P97,S97)</f>
        <v/>
      </c>
      <c r="W97" s="3" t="n">
        <v>46082</v>
      </c>
      <c r="X97" s="3" t="n">
        <v>46112</v>
      </c>
      <c r="Y97" s="5" t="n"/>
      <c r="AA97" s="13" t="n">
        <v>46082</v>
      </c>
      <c r="AB97" s="13" t="n">
        <v>46112</v>
      </c>
      <c r="AC97" s="9" t="n"/>
      <c r="AD97" s="9">
        <f>T97-AA97</f>
        <v/>
      </c>
      <c r="AE97" s="9">
        <f>U97-AB97</f>
        <v/>
      </c>
      <c r="AF97" s="9">
        <f>V97-AC97</f>
        <v/>
      </c>
    </row>
    <row r="101">
      <c r="D101" s="11" t="inlineStr">
        <is>
          <t>Remarks D&amp;D, Storage and amendments in Bookings:</t>
        </is>
      </c>
    </row>
    <row r="102">
      <c r="D102" s="11" t="inlineStr">
        <is>
          <t xml:space="preserve">Free Storage at POL RTM Terminal: As per local conditions( please check our general conditions &amp; charges) </t>
        </is>
      </c>
    </row>
    <row r="103">
      <c r="D103" s="11" t="inlineStr">
        <is>
          <t>*Free time at other POL/POD's: As per local conditions</t>
        </is>
      </c>
    </row>
    <row r="104">
      <c r="D104" s="11" t="inlineStr">
        <is>
          <t>Booking Cancellation Fee/Roll over Fee: EUR 50/Container prior 5 calendar days before VGM closing in Rotterdam/Antwerp/Hamburg</t>
        </is>
      </c>
    </row>
    <row r="105">
      <c r="D105" s="11" t="inlineStr">
        <is>
          <t xml:space="preserve">Roll Over Fee: 1st roll over free of charge, after that: EUR 50/Container </t>
        </is>
      </c>
    </row>
    <row r="106">
      <c r="D106" s="11" t="inlineStr">
        <is>
          <t>For this quotation we apply our general conditions and charges as per attached.</t>
        </is>
      </c>
    </row>
    <row r="107">
      <c r="D107" s="11" t="inlineStr">
        <is>
          <t xml:space="preserve">Conditions and Remarks                   </t>
        </is>
      </c>
    </row>
    <row r="108">
      <c r="D108" s="11" t="inlineStr">
        <is>
          <t>1) The full gate in date of the last container of the booking is the leading factor  of ocean freight calculation against validity of the Rate agreement.</t>
        </is>
      </c>
    </row>
    <row r="109">
      <c r="D109" s="11" t="inlineStr">
        <is>
          <t>2)  If the vessel delay information is within 14 days prior to the published ETD of the vessel, the DND and Storage charges (if any) will not be charged.</t>
        </is>
      </c>
    </row>
    <row r="110">
      <c r="D110" s="11" t="inlineStr">
        <is>
          <t>This is of course only for the DND/Storage costs occurred due to the delay. Costs occurred without any involvement of the delay will be charged accordingly.</t>
        </is>
      </c>
    </row>
    <row r="111">
      <c r="D111" s="11" t="inlineStr">
        <is>
          <t>3)  If the vessel delay information is before 14 days prior to the published ETD of the vessel, the DND and Storage chargers (if any) will be charged accordingly.</t>
        </is>
      </c>
    </row>
    <row r="112">
      <c r="D112" s="11" t="inlineStr">
        <is>
          <t xml:space="preserve">4) Rates are offered in USD. </t>
        </is>
      </c>
    </row>
    <row r="113">
      <c r="D113" s="11" t="inlineStr">
        <is>
          <t xml:space="preserve">5) Based on freight prepaid. </t>
        </is>
      </c>
    </row>
    <row r="114">
      <c r="D114" s="11" t="inlineStr">
        <is>
          <t xml:space="preserve">6) Subject to local charges at destination.    </t>
        </is>
      </c>
    </row>
    <row r="115">
      <c r="D115" s="11" t="inlineStr">
        <is>
          <t>7) Subject to service, space and equipment availability.</t>
        </is>
      </c>
    </row>
    <row r="116">
      <c r="D116" s="11" t="inlineStr">
        <is>
          <t xml:space="preserve">8) IMO Classes 1.2, 5.1 &amp; 7 not acceptable.            </t>
        </is>
      </c>
    </row>
    <row r="117">
      <c r="D117" s="11" t="inlineStr">
        <is>
          <t xml:space="preserve">9) Subject to IMO approval by the line.         </t>
        </is>
      </c>
    </row>
    <row r="118">
      <c r="D118" s="11" t="inlineStr">
        <is>
          <t xml:space="preserve">10) Overweight cargo will not be accepted.  </t>
        </is>
      </c>
    </row>
    <row r="119">
      <c r="D119" s="11" t="inlineStr">
        <is>
          <t>11) Rates do not include taxes.</t>
        </is>
      </c>
    </row>
    <row r="120">
      <c r="D120" s="11" t="inlineStr">
        <is>
          <t xml:space="preserve">12 )IMO is always subject to final carrier approval. </t>
        </is>
      </c>
    </row>
    <row r="121">
      <c r="D121" s="11" t="inlineStr">
        <is>
          <t>13) Rate need to be filled before the gate in date. If rate is not filed, your booking will rate with FAK rate according to the FMC Rules</t>
        </is>
      </c>
    </row>
  </sheetData>
  <mergeCells count="2">
    <mergeCell ref="AA3:AC3"/>
    <mergeCell ref="AD3:A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14" sqref="G14"/>
    </sheetView>
  </sheetViews>
  <sheetFormatPr baseColWidth="8" defaultRowHeight="15"/>
  <cols>
    <col width="26.28515625" customWidth="1" min="1" max="1"/>
  </cols>
  <sheetData>
    <row r="1">
      <c r="A1" s="4" t="inlineStr">
        <is>
          <t>BREMERHAVEN</t>
        </is>
      </c>
      <c r="B1" t="inlineStr">
        <is>
          <t>GERMANY</t>
        </is>
      </c>
    </row>
    <row r="2">
      <c r="A2" s="4" t="inlineStr">
        <is>
          <t>ROTTERDAM</t>
        </is>
      </c>
      <c r="B2" t="inlineStr">
        <is>
          <t>NETHERLANDS</t>
        </is>
      </c>
    </row>
    <row r="3">
      <c r="A3" s="4" t="inlineStr">
        <is>
          <t>ANTWERP</t>
        </is>
      </c>
      <c r="B3" t="inlineStr">
        <is>
          <t>BELGIUM</t>
        </is>
      </c>
    </row>
    <row r="4">
      <c r="A4" s="4" t="inlineStr">
        <is>
          <t>HAMBURG</t>
        </is>
      </c>
      <c r="B4" t="inlineStr">
        <is>
          <t>GERMANY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8"/>
  <sheetViews>
    <sheetView workbookViewId="0">
      <selection activeCell="E30" sqref="E30"/>
    </sheetView>
  </sheetViews>
  <sheetFormatPr baseColWidth="8" defaultRowHeight="15"/>
  <cols>
    <col width="27" bestFit="1" customWidth="1" min="1" max="1"/>
    <col width="19.42578125" bestFit="1" customWidth="1" min="2" max="2"/>
    <col width="13.140625" bestFit="1" customWidth="1" min="3" max="3"/>
    <col width="10.7109375" bestFit="1" customWidth="1" min="4" max="4"/>
    <col width="20.5703125" customWidth="1" min="5" max="5"/>
  </cols>
  <sheetData>
    <row r="2">
      <c r="B2" t="inlineStr">
        <is>
          <t>US inland</t>
        </is>
      </c>
    </row>
    <row r="3">
      <c r="B3" t="inlineStr">
        <is>
          <t>Validity : 10/01/2025 - 12/31/2025</t>
        </is>
      </c>
    </row>
    <row r="6">
      <c r="B6" t="inlineStr">
        <is>
          <t>Location</t>
        </is>
      </c>
      <c r="C6" t="inlineStr">
        <is>
          <t>Location Type</t>
        </is>
      </c>
      <c r="D6" t="inlineStr">
        <is>
          <t>Routing via</t>
        </is>
      </c>
      <c r="F6" t="inlineStr">
        <is>
          <t>20DV</t>
        </is>
      </c>
      <c r="G6" t="inlineStr">
        <is>
          <t>40DV/40HQ</t>
        </is>
      </c>
      <c r="H6" t="inlineStr">
        <is>
          <t>40RF/40RQ</t>
        </is>
      </c>
    </row>
    <row r="7">
      <c r="A7">
        <f>B7&amp;E7</f>
        <v/>
      </c>
      <c r="B7" t="inlineStr">
        <is>
          <t>ATLANTA, GA</t>
        </is>
      </c>
      <c r="C7" t="inlineStr">
        <is>
          <t>Ramp</t>
        </is>
      </c>
      <c r="D7" t="inlineStr">
        <is>
          <t>SAV</t>
        </is>
      </c>
      <c r="E7" t="inlineStr">
        <is>
          <t>SAVANNAH, GA</t>
        </is>
      </c>
      <c r="F7" t="n">
        <v>675</v>
      </c>
      <c r="G7" t="n">
        <v>700</v>
      </c>
    </row>
    <row r="8">
      <c r="A8">
        <f>B8&amp;E8</f>
        <v/>
      </c>
      <c r="B8" t="inlineStr">
        <is>
          <t>CHARLOTTE, NC</t>
        </is>
      </c>
      <c r="C8" t="inlineStr">
        <is>
          <t>Rail Ramp</t>
        </is>
      </c>
      <c r="D8" t="inlineStr">
        <is>
          <t>SAV</t>
        </is>
      </c>
      <c r="E8" t="inlineStr">
        <is>
          <t>SAVANNAH, GA</t>
        </is>
      </c>
      <c r="F8" t="n">
        <v>700</v>
      </c>
      <c r="G8" t="n">
        <v>800</v>
      </c>
    </row>
    <row r="9">
      <c r="A9">
        <f>B9&amp;E9</f>
        <v/>
      </c>
      <c r="B9" t="inlineStr">
        <is>
          <t>CHICAGO, IL</t>
        </is>
      </c>
      <c r="C9" t="inlineStr">
        <is>
          <t>Rail Ramp</t>
        </is>
      </c>
      <c r="D9" t="inlineStr">
        <is>
          <t>NYC</t>
        </is>
      </c>
      <c r="E9" t="inlineStr">
        <is>
          <t>NEW YORK, NY</t>
        </is>
      </c>
      <c r="F9" t="n">
        <v>750</v>
      </c>
      <c r="G9" t="n">
        <v>900</v>
      </c>
      <c r="H9" t="n">
        <v>2000</v>
      </c>
    </row>
    <row r="10">
      <c r="A10">
        <f>B10&amp;E10</f>
        <v/>
      </c>
      <c r="B10" t="inlineStr">
        <is>
          <t>CINCINNATI, OH</t>
        </is>
      </c>
      <c r="C10" t="inlineStr">
        <is>
          <t>Rail Ramp</t>
        </is>
      </c>
      <c r="D10" t="inlineStr">
        <is>
          <t>NYC</t>
        </is>
      </c>
      <c r="E10" t="inlineStr">
        <is>
          <t>NEW YORK, NY</t>
        </is>
      </c>
      <c r="F10" t="n">
        <v>850</v>
      </c>
      <c r="G10" t="n">
        <v>1025</v>
      </c>
    </row>
    <row r="11">
      <c r="A11">
        <f>B11&amp;E11</f>
        <v/>
      </c>
      <c r="B11" t="inlineStr">
        <is>
          <t>CLEVELAND, OH</t>
        </is>
      </c>
      <c r="C11" t="inlineStr">
        <is>
          <t>Rail Ramp</t>
        </is>
      </c>
      <c r="D11" t="inlineStr">
        <is>
          <t>NYC</t>
        </is>
      </c>
      <c r="E11" t="inlineStr">
        <is>
          <t>NEW YORK, NY</t>
        </is>
      </c>
      <c r="F11" t="n">
        <v>1050</v>
      </c>
      <c r="G11" t="n">
        <v>1150</v>
      </c>
    </row>
    <row r="12">
      <c r="A12">
        <f>B12&amp;E12</f>
        <v/>
      </c>
      <c r="B12" t="inlineStr">
        <is>
          <t>COLUMBUS, OH</t>
        </is>
      </c>
      <c r="C12" t="inlineStr">
        <is>
          <t>Depot</t>
        </is>
      </c>
      <c r="D12" t="inlineStr">
        <is>
          <t>NYC</t>
        </is>
      </c>
      <c r="E12" t="inlineStr">
        <is>
          <t>NEW YORK, NY</t>
        </is>
      </c>
      <c r="F12" t="n">
        <v>840</v>
      </c>
      <c r="G12" t="n">
        <v>950</v>
      </c>
    </row>
    <row r="13">
      <c r="A13">
        <f>B13&amp;E13</f>
        <v/>
      </c>
      <c r="B13" t="inlineStr">
        <is>
          <t>DALLAS, TX</t>
        </is>
      </c>
      <c r="C13" t="inlineStr">
        <is>
          <t>Rail Ramp / Depot</t>
        </is>
      </c>
      <c r="D13" t="inlineStr">
        <is>
          <t>SAV</t>
        </is>
      </c>
      <c r="E13" t="inlineStr">
        <is>
          <t>SAVANNAH, GA</t>
        </is>
      </c>
      <c r="F13" t="n">
        <v>2300</v>
      </c>
      <c r="G13" t="n">
        <v>2700</v>
      </c>
    </row>
    <row r="14">
      <c r="A14">
        <f>B14&amp;E14</f>
        <v/>
      </c>
      <c r="B14" t="inlineStr">
        <is>
          <t xml:space="preserve">DENVER, CO </t>
        </is>
      </c>
      <c r="C14" t="inlineStr">
        <is>
          <t>Rail Ramp / Depot</t>
        </is>
      </c>
      <c r="D14" t="inlineStr">
        <is>
          <t>OAK</t>
        </is>
      </c>
      <c r="E14" t="inlineStr">
        <is>
          <t>OAKLAND, CA</t>
        </is>
      </c>
      <c r="F14" t="n">
        <v>2380</v>
      </c>
      <c r="G14" t="n">
        <v>2840</v>
      </c>
    </row>
    <row r="15">
      <c r="A15">
        <f>B15&amp;E15</f>
        <v/>
      </c>
      <c r="B15" t="inlineStr">
        <is>
          <t>DETROIT, MI</t>
        </is>
      </c>
      <c r="C15" t="inlineStr">
        <is>
          <t>Rail Ramp</t>
        </is>
      </c>
      <c r="D15" t="inlineStr">
        <is>
          <t>NYC</t>
        </is>
      </c>
      <c r="E15" t="inlineStr">
        <is>
          <t>NEW YORK, NY</t>
        </is>
      </c>
      <c r="F15" t="n">
        <v>1050</v>
      </c>
      <c r="G15" t="n">
        <v>1200</v>
      </c>
    </row>
    <row r="16">
      <c r="A16">
        <f>B16&amp;E16</f>
        <v/>
      </c>
      <c r="B16" t="inlineStr">
        <is>
          <t>GREER, SC</t>
        </is>
      </c>
      <c r="C16" t="inlineStr">
        <is>
          <t>Rail Ramp</t>
        </is>
      </c>
      <c r="D16" t="inlineStr">
        <is>
          <t>CHS</t>
        </is>
      </c>
      <c r="E16" t="inlineStr">
        <is>
          <t>CHARLESTON, SC</t>
        </is>
      </c>
      <c r="F16" t="n">
        <v>1060</v>
      </c>
      <c r="G16" t="n">
        <v>1140</v>
      </c>
    </row>
    <row r="17">
      <c r="A17">
        <f>B17&amp;E17</f>
        <v/>
      </c>
      <c r="B17" t="inlineStr">
        <is>
          <t>INDIANAPOLIS, IN</t>
        </is>
      </c>
      <c r="C17" t="inlineStr">
        <is>
          <t>Depot</t>
        </is>
      </c>
      <c r="D17" t="inlineStr">
        <is>
          <t>NYC</t>
        </is>
      </c>
      <c r="E17" t="inlineStr">
        <is>
          <t>NEW YORK, NY</t>
        </is>
      </c>
      <c r="F17" t="n">
        <v>1260</v>
      </c>
      <c r="G17" t="n">
        <v>1440</v>
      </c>
    </row>
    <row r="18">
      <c r="A18">
        <f>B18&amp;E18</f>
        <v/>
      </c>
      <c r="B18" t="inlineStr">
        <is>
          <t>KANSAS CITY, MO</t>
        </is>
      </c>
      <c r="C18" t="inlineStr">
        <is>
          <t>Depot</t>
        </is>
      </c>
      <c r="D18" t="inlineStr">
        <is>
          <t>NYC</t>
        </is>
      </c>
      <c r="E18" t="inlineStr">
        <is>
          <t>NEW YORK, NY</t>
        </is>
      </c>
      <c r="F18" t="n">
        <v>1150</v>
      </c>
      <c r="G18" t="n">
        <v>1400</v>
      </c>
    </row>
    <row r="19">
      <c r="A19">
        <f>B19&amp;E19</f>
        <v/>
      </c>
      <c r="B19" t="inlineStr">
        <is>
          <t>LONG BEACH, CA</t>
        </is>
      </c>
      <c r="C19" t="inlineStr">
        <is>
          <t>Rail Ramp</t>
        </is>
      </c>
      <c r="D19" t="inlineStr">
        <is>
          <t>HOU</t>
        </is>
      </c>
      <c r="E19" t="inlineStr">
        <is>
          <t>HOUSTON, TX</t>
        </is>
      </c>
      <c r="F19" t="n">
        <v>1870</v>
      </c>
      <c r="G19" t="n">
        <v>2250</v>
      </c>
    </row>
    <row r="20">
      <c r="A20">
        <f>B20&amp;E20</f>
        <v/>
      </c>
      <c r="B20" t="inlineStr">
        <is>
          <t>LOUISVILLE, KY</t>
        </is>
      </c>
      <c r="C20" t="inlineStr">
        <is>
          <t>Rail Ramp</t>
        </is>
      </c>
      <c r="D20" t="inlineStr">
        <is>
          <t>ORF</t>
        </is>
      </c>
      <c r="E20" t="inlineStr">
        <is>
          <t>NORFOLK, VA</t>
        </is>
      </c>
      <c r="F20" t="n">
        <v>975</v>
      </c>
      <c r="G20" t="n">
        <v>1300</v>
      </c>
    </row>
    <row r="21">
      <c r="A21">
        <f>B21&amp;E21</f>
        <v/>
      </c>
      <c r="B21" t="inlineStr">
        <is>
          <t>MEMPHIS, TN</t>
        </is>
      </c>
      <c r="C21" t="inlineStr">
        <is>
          <t>Rail Ramp</t>
        </is>
      </c>
      <c r="D21" t="inlineStr">
        <is>
          <t>SAV</t>
        </is>
      </c>
      <c r="E21" t="inlineStr">
        <is>
          <t>SAVANNAH, GA</t>
        </is>
      </c>
      <c r="F21" t="n">
        <v>860</v>
      </c>
      <c r="G21" t="n">
        <v>990</v>
      </c>
    </row>
    <row r="22">
      <c r="A22">
        <f>B22&amp;E22</f>
        <v/>
      </c>
      <c r="B22" t="inlineStr">
        <is>
          <t>MINNEAPOLIS, MN</t>
        </is>
      </c>
      <c r="C22" t="inlineStr">
        <is>
          <t>Rail Ramp</t>
        </is>
      </c>
      <c r="D22" t="inlineStr">
        <is>
          <t>NYC</t>
        </is>
      </c>
      <c r="E22" t="inlineStr">
        <is>
          <t>NEW YORK, NY</t>
        </is>
      </c>
      <c r="F22" t="n">
        <v>1750</v>
      </c>
      <c r="G22" t="n">
        <v>2075</v>
      </c>
    </row>
    <row r="23">
      <c r="A23">
        <f>B23&amp;E23</f>
        <v/>
      </c>
      <c r="B23" t="inlineStr">
        <is>
          <t>NASHVILLE, TN</t>
        </is>
      </c>
      <c r="C23" t="inlineStr">
        <is>
          <t>Rail Ramp</t>
        </is>
      </c>
      <c r="D23" t="inlineStr">
        <is>
          <t>SAV</t>
        </is>
      </c>
      <c r="E23" t="inlineStr">
        <is>
          <t>SAVANNAH, GA</t>
        </is>
      </c>
      <c r="F23" t="n">
        <v>900</v>
      </c>
      <c r="G23" t="n">
        <v>1275</v>
      </c>
    </row>
    <row r="24">
      <c r="A24">
        <f>B24&amp;E24</f>
        <v/>
      </c>
      <c r="B24" t="inlineStr">
        <is>
          <t>PITTSBURGH, PA</t>
        </is>
      </c>
      <c r="C24" t="inlineStr">
        <is>
          <t>Depot</t>
        </is>
      </c>
      <c r="D24" t="inlineStr">
        <is>
          <t>NYC</t>
        </is>
      </c>
      <c r="E24" t="inlineStr">
        <is>
          <t>NEW YORK, NY</t>
        </is>
      </c>
      <c r="F24" t="n">
        <v>900</v>
      </c>
      <c r="G24" t="n">
        <v>940</v>
      </c>
    </row>
    <row r="25">
      <c r="A25">
        <f>B25&amp;E25</f>
        <v/>
      </c>
      <c r="B25" t="inlineStr">
        <is>
          <t>SALT LAKE CITY, UT</t>
        </is>
      </c>
      <c r="C25" t="inlineStr">
        <is>
          <t>Rail Ramp / Depot</t>
        </is>
      </c>
      <c r="D25" t="inlineStr">
        <is>
          <t>OAK</t>
        </is>
      </c>
      <c r="E25" t="inlineStr">
        <is>
          <t>OAKLAND, CA</t>
        </is>
      </c>
      <c r="F25" t="n">
        <v>1840</v>
      </c>
      <c r="G25" t="n">
        <v>2160</v>
      </c>
    </row>
    <row r="26">
      <c r="A26">
        <f>B26&amp;E26</f>
        <v/>
      </c>
      <c r="B26" t="inlineStr">
        <is>
          <t>ST LOUIS, MO</t>
        </is>
      </c>
      <c r="C26" t="inlineStr">
        <is>
          <t>Depot</t>
        </is>
      </c>
      <c r="D26" t="inlineStr">
        <is>
          <t>NYC</t>
        </is>
      </c>
      <c r="E26" t="inlineStr">
        <is>
          <t>NEW YORK, NY</t>
        </is>
      </c>
      <c r="F26" t="n">
        <v>850</v>
      </c>
      <c r="G26" t="n">
        <v>1025</v>
      </c>
    </row>
    <row r="27">
      <c r="A27">
        <f>B27&amp;E27</f>
        <v/>
      </c>
      <c r="B27" t="inlineStr">
        <is>
          <t>TAMPA, FL</t>
        </is>
      </c>
      <c r="C27" t="inlineStr">
        <is>
          <t>Rail Ramp / Depot</t>
        </is>
      </c>
      <c r="D27" t="inlineStr">
        <is>
          <t>SAV</t>
        </is>
      </c>
      <c r="E27" t="inlineStr">
        <is>
          <t>SAVANNAH, GA</t>
        </is>
      </c>
      <c r="F27" t="n">
        <v>1050</v>
      </c>
      <c r="G27" t="n">
        <v>1150</v>
      </c>
    </row>
    <row r="33">
      <c r="B33" t="inlineStr">
        <is>
          <t>SAV</t>
        </is>
      </c>
      <c r="C33" s="1" t="inlineStr">
        <is>
          <t>SAVANNAH, GA</t>
        </is>
      </c>
    </row>
    <row r="34">
      <c r="B34" t="inlineStr">
        <is>
          <t>NYC</t>
        </is>
      </c>
      <c r="C34" s="1" t="inlineStr">
        <is>
          <t>NEW YORK, NY</t>
        </is>
      </c>
    </row>
    <row r="35">
      <c r="B35" t="inlineStr">
        <is>
          <t>OAK</t>
        </is>
      </c>
      <c r="C35" s="1" t="inlineStr">
        <is>
          <t>OAKLAND, CA</t>
        </is>
      </c>
    </row>
    <row r="36">
      <c r="B36" t="inlineStr">
        <is>
          <t>CHS</t>
        </is>
      </c>
      <c r="C36" s="1" t="inlineStr">
        <is>
          <t>CHARLESTON, SC</t>
        </is>
      </c>
    </row>
    <row r="37">
      <c r="B37" t="inlineStr">
        <is>
          <t>HOU</t>
        </is>
      </c>
      <c r="C37" s="1" t="inlineStr">
        <is>
          <t>HOUSTON, TX</t>
        </is>
      </c>
    </row>
    <row r="38">
      <c r="B38" t="inlineStr">
        <is>
          <t>ORF</t>
        </is>
      </c>
      <c r="C38" s="1" t="inlineStr">
        <is>
          <t>NORFOLK, VA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Jenny Kim (JFK)</dc:creator>
  <dcterms:created xsi:type="dcterms:W3CDTF">2025-05-09T01:42:35Z</dcterms:created>
  <dcterms:modified xsi:type="dcterms:W3CDTF">2026-03-30T16:31:19Z</dcterms:modified>
  <cp:lastModifiedBy>Monica Huang (JFK)</cp:lastModifiedBy>
</cp:coreProperties>
</file>